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10.xml" ContentType="application/vnd.openxmlformats-officedocument.drawing+xml"/>
  <Override PartName="/xl/slicers/slicer4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11.xml" ContentType="application/vnd.openxmlformats-officedocument.drawing+xml"/>
  <Override PartName="/xl/slicers/slicer5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12.xml" ContentType="application/vnd.openxmlformats-officedocument.drawing+xml"/>
  <Override PartName="/xl/slicers/slicer6.xml" ContentType="application/vnd.ms-excel.slicer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13.xml" ContentType="application/vnd.openxmlformats-officedocument.drawing+xml"/>
  <Override PartName="/xl/slicers/slicer7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jgm-filesrv-01.jgm.ar\jgm\grp011\Publico\METODOLOGÍAS, NORMAS Y CAPACITACIÓN\Series y estadísticas\Página Web\2026\1_Enero\"/>
    </mc:Choice>
  </mc:AlternateContent>
  <bookViews>
    <workbookView xWindow="0" yWindow="0" windowWidth="24000" windowHeight="9600"/>
  </bookViews>
  <sheets>
    <sheet name="Índice" sheetId="1" r:id="rId1"/>
    <sheet name="serie 1" sheetId="19" r:id="rId2"/>
    <sheet name="serie 2" sheetId="3" r:id="rId3"/>
    <sheet name="serie 3" sheetId="2" r:id="rId4"/>
    <sheet name="serie 4" sheetId="5" r:id="rId5"/>
    <sheet name="serie 5" sheetId="20" r:id="rId6"/>
    <sheet name="serie 6" sheetId="6" r:id="rId7"/>
    <sheet name="serie 7" sheetId="12" r:id="rId8"/>
    <sheet name="serie 8" sheetId="21" r:id="rId9"/>
    <sheet name="serie 9" sheetId="13" r:id="rId10"/>
    <sheet name="serie 10" sheetId="15" r:id="rId11"/>
    <sheet name="serie 11" sheetId="22" r:id="rId12"/>
    <sheet name="serie 12" sheetId="16" r:id="rId13"/>
    <sheet name="Dev vs caja" sheetId="18" state="hidden" r:id="rId14"/>
  </sheets>
  <definedNames>
    <definedName name="SegmentaciónDeDatos_Función">#N/A</definedName>
    <definedName name="SegmentaciónDeDatos_Función1">#N/A</definedName>
    <definedName name="SegmentaciónDeDatos_Función2">#N/A</definedName>
    <definedName name="SegmentaciónDeDatos_Función3">#N/A</definedName>
    <definedName name="SegmentaciónDeDatos_Función31">#N/A</definedName>
    <definedName name="SegmentaciónDeDatos_Función4">#N/A</definedName>
    <definedName name="SegmentaciónDeDatos_Función5">#N/A</definedName>
  </definedNames>
  <calcPr calcId="162913"/>
  <pivotCaches>
    <pivotCache cacheId="0" r:id="rId15"/>
    <pivotCache cacheId="4" r:id="rId16"/>
    <pivotCache cacheId="5" r:id="rId17"/>
    <pivotCache cacheId="6" r:id="rId18"/>
    <pivotCache cacheId="11" r:id="rId19"/>
    <pivotCache cacheId="16" r:id="rId20"/>
    <pivotCache cacheId="21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<sst xmlns="http://schemas.openxmlformats.org/spreadsheetml/2006/main" count="378" uniqueCount="102">
  <si>
    <t>Índice de Series</t>
  </si>
  <si>
    <t>TRANSPORTE</t>
  </si>
  <si>
    <t>ENERGÍA, COMBUSTIBLES Y MINERÍA</t>
  </si>
  <si>
    <t>AGUA POTABLE Y ALCANTARILLADO</t>
  </si>
  <si>
    <t>VIVIENDA Y URBANISMO</t>
  </si>
  <si>
    <t>CIENCIA Y TÉCNICA</t>
  </si>
  <si>
    <t>EDUCACIÓN Y CULTURA</t>
  </si>
  <si>
    <t>SALUD</t>
  </si>
  <si>
    <t>ENERGIA</t>
  </si>
  <si>
    <t>EDUCACION</t>
  </si>
  <si>
    <t>VIVIENDA</t>
  </si>
  <si>
    <t>AGUA</t>
  </si>
  <si>
    <t>OTROS Y FFS</t>
  </si>
  <si>
    <t>volver al índice</t>
  </si>
  <si>
    <t>Serie 2</t>
  </si>
  <si>
    <t>Inversión Pública total de la Administración Nacional. Base devengado en % del Producto Bruto Interno</t>
  </si>
  <si>
    <t>Inversión Pública total de la Administración Nacional</t>
  </si>
  <si>
    <t>Serie 3</t>
  </si>
  <si>
    <t>Función</t>
  </si>
  <si>
    <t>Inversión Pública de la Administración Nacional. Base devengado por función en % del Producto Bruto Interno.</t>
  </si>
  <si>
    <t>Serie 4</t>
  </si>
  <si>
    <r>
      <rPr>
        <b/>
        <sz val="9"/>
        <color theme="1"/>
        <rFont val="Arial"/>
        <family val="2"/>
      </rPr>
      <t>FUENTE</t>
    </r>
    <r>
      <rPr>
        <sz val="9"/>
        <color theme="1"/>
        <rFont val="Arial"/>
        <family val="2"/>
      </rPr>
      <t xml:space="preserve">: elaboración propia en base a ONP e INDEC. </t>
    </r>
  </si>
  <si>
    <t>Serie 5</t>
  </si>
  <si>
    <t>Serie 6</t>
  </si>
  <si>
    <t>Inversión Pública de la Administración Nacional. Base devengado por función en índice (2015=100,0)</t>
  </si>
  <si>
    <t>Sector Público Nacional</t>
  </si>
  <si>
    <t>Concepto</t>
  </si>
  <si>
    <t>Serie 7</t>
  </si>
  <si>
    <t xml:space="preserve">Gastos de Capital del Sector Público Nacional. Base caja en % del Producto Bruto Interno </t>
  </si>
  <si>
    <t>Serie 8</t>
  </si>
  <si>
    <t>Gastos de Capital del Sector Público Nacional. Base caja por función en % del Producto Bruto Interno</t>
  </si>
  <si>
    <t>Inversión Pública total de la Administración Nacional. Base devengado en índice (2015=100,0)</t>
  </si>
  <si>
    <t>RESTO</t>
  </si>
  <si>
    <t>Serie 2 - Inversión Pública total de la Administración Nacional. Base devengado en índice (2015=100,0).</t>
  </si>
  <si>
    <t>Valores</t>
  </si>
  <si>
    <t xml:space="preserve"> 2021</t>
  </si>
  <si>
    <t xml:space="preserve"> 2020</t>
  </si>
  <si>
    <t xml:space="preserve"> 2019</t>
  </si>
  <si>
    <t xml:space="preserve"> 2018</t>
  </si>
  <si>
    <t xml:space="preserve"> 2017</t>
  </si>
  <si>
    <t xml:space="preserve"> 2016</t>
  </si>
  <si>
    <t xml:space="preserve"> 2015</t>
  </si>
  <si>
    <t>Tipo</t>
  </si>
  <si>
    <t>TOTAL</t>
  </si>
  <si>
    <t>Base devengado</t>
  </si>
  <si>
    <t>Base Caja</t>
  </si>
  <si>
    <t>-</t>
  </si>
  <si>
    <t>Etiquetas de columna</t>
  </si>
  <si>
    <t>2015</t>
  </si>
  <si>
    <t>2016</t>
  </si>
  <si>
    <t>2017</t>
  </si>
  <si>
    <t>2018</t>
  </si>
  <si>
    <t>2019</t>
  </si>
  <si>
    <t>2020</t>
  </si>
  <si>
    <t>2021</t>
  </si>
  <si>
    <t>2022</t>
  </si>
  <si>
    <t>DEFENSA</t>
  </si>
  <si>
    <t xml:space="preserve">2022 </t>
  </si>
  <si>
    <t xml:space="preserve">2023 </t>
  </si>
  <si>
    <t xml:space="preserve">2024 </t>
  </si>
  <si>
    <r>
      <rPr>
        <b/>
        <sz val="9"/>
        <color theme="1"/>
        <rFont val="Arial"/>
        <family val="2"/>
      </rPr>
      <t>FUENTE</t>
    </r>
    <r>
      <rPr>
        <sz val="9"/>
        <color theme="1"/>
        <rFont val="Arial"/>
        <family val="2"/>
      </rPr>
      <t xml:space="preserve">: elaboración propia en base a ONP, INDEC y estadísticas provinciales de Santa Fe, Córdoba, San Luis y CABA. </t>
    </r>
  </si>
  <si>
    <t xml:space="preserve"> 2023</t>
  </si>
  <si>
    <t xml:space="preserve"> 2022</t>
  </si>
  <si>
    <t xml:space="preserve"> 2024</t>
  </si>
  <si>
    <t>2025*</t>
  </si>
  <si>
    <t xml:space="preserve">2025* </t>
  </si>
  <si>
    <t xml:space="preserve">2025 </t>
  </si>
  <si>
    <t>Serie 1</t>
  </si>
  <si>
    <t>Serie 9</t>
  </si>
  <si>
    <t>Serie 10</t>
  </si>
  <si>
    <t>Serie 11</t>
  </si>
  <si>
    <t>Serie 12</t>
  </si>
  <si>
    <t>Serie 4 - Inversión Pública de la Administración Nacional. Base devengado por función en % del Producto Bruto Interno.</t>
  </si>
  <si>
    <t>Serie 3 - Inversión Pública total de la Administración Nacional. Base devengado en % del Producto Bruto Interno</t>
  </si>
  <si>
    <t>Serie 6 - Inversión Pública de la Administración Nacional. Base devengado por función en índice (2015=100,0)</t>
  </si>
  <si>
    <t xml:space="preserve">Serie 7 - Gastos de Capital del Sector Público Nacional. Base caja en % del Producto Bruto Interno </t>
  </si>
  <si>
    <t>Serie 10 - Gastos de Capital del Sector Público Nacional. Base caja por función en % del Producto Bruto Interno</t>
  </si>
  <si>
    <t>Inversión Pública total de la Administración Nacional. Base devengado en índice (Acumulado a Enero 2015=100,0)</t>
  </si>
  <si>
    <t>2026**</t>
  </si>
  <si>
    <t>*Dato provisorio en base a Crédito Devengado al 31-12-2025 y proyecciones de PIB utilizadas en Ley de Presupuesto 2026.</t>
  </si>
  <si>
    <t>** Estimación en base a Ley de Presupuesto 2026.</t>
  </si>
  <si>
    <r>
      <rPr>
        <b/>
        <sz val="9"/>
        <color theme="1"/>
        <rFont val="Arial"/>
        <family val="2"/>
      </rPr>
      <t>FUENTE</t>
    </r>
    <r>
      <rPr>
        <sz val="9"/>
        <color theme="1"/>
        <rFont val="Arial"/>
        <family val="2"/>
      </rPr>
      <t>: elaboración propia en base a E-SIDIF (fecha de corte al 02/02/2026) e INDEC</t>
    </r>
  </si>
  <si>
    <t xml:space="preserve">2026** </t>
  </si>
  <si>
    <t>Inversión Pública de la Administración Nacional. Base devengado por función en índice (Acumulado a Enero 2015=100,0)</t>
  </si>
  <si>
    <r>
      <rPr>
        <b/>
        <sz val="9"/>
        <color theme="1"/>
        <rFont val="Arial"/>
        <family val="2"/>
      </rPr>
      <t>FUENTE</t>
    </r>
    <r>
      <rPr>
        <sz val="9"/>
        <color theme="1"/>
        <rFont val="Arial"/>
        <family val="2"/>
      </rPr>
      <t xml:space="preserve">: elaboración propia en base a E-SIDIF (fecha de corte al 02/02/2026), INDEC y estadísticas provinciales de Santa Fe, Córdoba, San Luis y CABA. </t>
    </r>
  </si>
  <si>
    <t xml:space="preserve">2026 </t>
  </si>
  <si>
    <t>* Dato provisorio sobre la base de cierre anual y proyecciones de PIB utilizadas en Ley de Presupuesto 2026.</t>
  </si>
  <si>
    <t>Gastos de Capital del Sector Publico Nacional. Base caja en índice (Acumulado a Enero 2019=100,0)</t>
  </si>
  <si>
    <t>Gastos de Capital del Sector Publico Nacional. Base caja en índice (2019=100,0)</t>
  </si>
  <si>
    <r>
      <rPr>
        <b/>
        <sz val="9"/>
        <color theme="1"/>
        <rFont val="Arial"/>
        <family val="2"/>
      </rPr>
      <t>FUENTE</t>
    </r>
    <r>
      <rPr>
        <sz val="9"/>
        <color theme="1"/>
        <rFont val="Arial"/>
        <family val="2"/>
      </rPr>
      <t xml:space="preserve">: elaboración propia en base a E-Sidif (fecha de corte al 02/02/2026), INDEC y estadísticas provinciales de Santa Fe, Córdoba, San Luis y CABA. </t>
    </r>
  </si>
  <si>
    <r>
      <rPr>
        <b/>
        <sz val="9"/>
        <color theme="1"/>
        <rFont val="Arial"/>
        <family val="2"/>
      </rPr>
      <t>FUENTE</t>
    </r>
    <r>
      <rPr>
        <sz val="9"/>
        <color theme="1"/>
        <rFont val="Arial"/>
        <family val="2"/>
      </rPr>
      <t xml:space="preserve">: elaboración propia en base a E-Sidif (fecha de corte al 02/02/2026) e INDEC. </t>
    </r>
  </si>
  <si>
    <t xml:space="preserve"> 2025*</t>
  </si>
  <si>
    <t>Gastos de Capital del Sector Público Nacional. Base caja por función en índice (Acumulado a Enero 2019=100,0)</t>
  </si>
  <si>
    <t>Gastos de Capital del Sector Público Nacional. Base caja por función en índice (2019=100,0)</t>
  </si>
  <si>
    <t xml:space="preserve"> 2025</t>
  </si>
  <si>
    <t>Serie 1 - Inversión Pública total de la Administración Nacional. Base devengado en índice (Acumulado a Enero 2015=100,0)</t>
  </si>
  <si>
    <t>Serie 5 - Inversión Pública de la Administración Nacional. Base devengado por función en índice (Acumulado a Enero 2015=100,0)</t>
  </si>
  <si>
    <t>Serie 8 - Gastos de Capital del Sector Publico Nacional. Base caja en índice (Acumulado a Enero 2019=100,0)</t>
  </si>
  <si>
    <t>Serie 9 - Gastos de Capital del Sector Publico Nacional. Base caja en índice (2019=100,0)</t>
  </si>
  <si>
    <t>*Datos provisorios en base a proyecciones de PIB utilizadas en Ley de Presupuesto 2026.</t>
  </si>
  <si>
    <t>Serie 11 - Gastos de Capital del Sector Público Nacional. Base caja por función en índice (Acumulado a Enero 2019=100,0)</t>
  </si>
  <si>
    <t>Serie 12 - Gastos de Capital del Sector Público Nacional. Base caja por función en índice (2019=100,0)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</si>
</sst>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_)"/>
    <numFmt numFmtId="166" formatCode="0_)"/>
    <numFmt numFmtId="167" formatCode="#,##0.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ourie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4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thin">
        <color rgb="FFF2F2F2"/>
      </right>
      <top style="thin">
        <color rgb="FFF2F2F2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165" fontId="15" fillId="0" borderId="0"/>
  </cellStyleXfs>
  <cellXfs count="61">
    <xf numFmtId="0" fontId="0" fillId="0" borderId="0" xfId="0"/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3" borderId="3" xfId="2" applyFont="1" applyFill="1" applyBorder="1" applyAlignment="1">
      <alignment vertical="center"/>
    </xf>
    <xf numFmtId="164" fontId="3" fillId="3" borderId="3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3" fillId="3" borderId="3" xfId="2" applyNumberFormat="1" applyFont="1" applyFill="1" applyBorder="1" applyAlignment="1">
      <alignment horizontal="center" vertical="center" wrapText="1"/>
    </xf>
    <xf numFmtId="2" fontId="3" fillId="3" borderId="3" xfId="2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1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8" fillId="4" borderId="0" xfId="1" applyFont="1" applyFill="1" applyAlignment="1"/>
    <xf numFmtId="0" fontId="11" fillId="4" borderId="0" xfId="0" applyFont="1" applyFill="1" applyAlignment="1">
      <alignment vertical="center" wrapText="1"/>
    </xf>
    <xf numFmtId="0" fontId="12" fillId="4" borderId="0" xfId="0" applyFont="1" applyFill="1"/>
    <xf numFmtId="0" fontId="8" fillId="4" borderId="0" xfId="1" applyFont="1" applyFill="1" applyAlignment="1">
      <alignment horizontal="center"/>
    </xf>
    <xf numFmtId="0" fontId="8" fillId="4" borderId="0" xfId="1" applyFont="1" applyFill="1" applyAlignment="1">
      <alignment horizontal="left"/>
    </xf>
    <xf numFmtId="0" fontId="12" fillId="4" borderId="0" xfId="0" applyFont="1" applyFill="1" applyAlignment="1">
      <alignment vertical="center"/>
    </xf>
    <xf numFmtId="0" fontId="5" fillId="4" borderId="0" xfId="1" applyFont="1" applyFill="1" applyAlignment="1">
      <alignment horizontal="left" vertical="center"/>
    </xf>
    <xf numFmtId="0" fontId="5" fillId="4" borderId="0" xfId="1" applyFont="1" applyFill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3" fillId="5" borderId="0" xfId="2" applyFont="1" applyFill="1" applyAlignment="1">
      <alignment vertical="center"/>
    </xf>
    <xf numFmtId="164" fontId="3" fillId="5" borderId="0" xfId="2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1" applyFont="1" applyFill="1" applyAlignment="1">
      <alignment horizontal="left" vertical="center" wrapText="1"/>
    </xf>
    <xf numFmtId="0" fontId="5" fillId="4" borderId="0" xfId="1" applyFont="1" applyFill="1" applyAlignment="1">
      <alignment horizontal="center" vertical="center" wrapText="1"/>
    </xf>
    <xf numFmtId="2" fontId="0" fillId="0" borderId="0" xfId="0" applyNumberFormat="1"/>
    <xf numFmtId="0" fontId="8" fillId="0" borderId="0" xfId="1" applyFont="1" applyFill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3" borderId="3" xfId="2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5" fontId="7" fillId="2" borderId="1" xfId="3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65" fontId="3" fillId="3" borderId="3" xfId="3" applyFont="1" applyFill="1" applyBorder="1" applyAlignment="1">
      <alignment vertical="center"/>
    </xf>
    <xf numFmtId="164" fontId="3" fillId="3" borderId="3" xfId="2" applyNumberFormat="1" applyFont="1" applyFill="1" applyBorder="1" applyAlignment="1">
      <alignment horizontal="left" vertical="center"/>
    </xf>
    <xf numFmtId="14" fontId="11" fillId="4" borderId="0" xfId="0" applyNumberFormat="1" applyFont="1" applyFill="1" applyAlignment="1">
      <alignment horizontal="left"/>
    </xf>
    <xf numFmtId="0" fontId="7" fillId="2" borderId="0" xfId="0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>
      <alignment horizontal="center" vertical="center"/>
    </xf>
    <xf numFmtId="167" fontId="3" fillId="3" borderId="3" xfId="2" applyNumberFormat="1" applyFont="1" applyFill="1" applyBorder="1" applyAlignment="1">
      <alignment horizontal="center" vertical="center"/>
    </xf>
    <xf numFmtId="0" fontId="4" fillId="4" borderId="0" xfId="0" applyFont="1" applyFill="1"/>
  </cellXfs>
  <cellStyles count="4">
    <cellStyle name="Hipervínculo" xfId="1" builtinId="8"/>
    <cellStyle name="Normal" xfId="0" builtinId="0"/>
    <cellStyle name="Normal 2" xfId="2"/>
    <cellStyle name="Normal 2 2" xfId="3"/>
  </cellStyles>
  <dxfs count="298"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4" formatCode="0.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4" formatCode="0.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4" formatCode="0.0"/>
    </dxf>
    <dxf>
      <numFmt numFmtId="164" formatCode="0.0"/>
    </dxf>
    <dxf>
      <alignment horizontal="left" readingOrder="0"/>
    </dxf>
    <dxf>
      <alignment horizontal="right" readingOrder="0"/>
    </dxf>
    <dxf>
      <alignment horizontal="center" readingOrder="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2.xml"/><Relationship Id="rId28" Type="http://schemas.microsoft.com/office/2007/relationships/slicerCache" Target="slicerCaches/slicerCache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microsoft.com/office/2007/relationships/slicerCache" Target="slicerCaches/slicerCache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Inversión Pública Total de la Administración Nacional</a:t>
            </a:r>
          </a:p>
          <a:p>
            <a:pPr algn="ctr">
              <a:defRPr b="1"/>
            </a:pPr>
            <a:r>
              <a:rPr lang="en-US" b="0"/>
              <a:t>Base devengado en índice (Acumulado a Enero 2015=100,0)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 1'!$A$7</c:f>
              <c:strCache>
                <c:ptCount val="1"/>
                <c:pt idx="0">
                  <c:v>Inversión Pública total de la Administración Nacional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2.566328337979577E-2"/>
                  <c:y val="-3.8576296296296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5B1-4E1B-9417-D17AD2944184}"/>
                </c:ext>
              </c:extLst>
            </c:dLbl>
            <c:dLbl>
              <c:idx val="6"/>
              <c:layout>
                <c:manualLayout>
                  <c:x val="-2.0447168871707246E-2"/>
                  <c:y val="-3.3872592592592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5B1-4E1B-9417-D17AD2944184}"/>
                </c:ext>
              </c:extLst>
            </c:dLbl>
            <c:dLbl>
              <c:idx val="9"/>
              <c:layout>
                <c:manualLayout>
                  <c:x val="-3.609551239597291E-2"/>
                  <c:y val="-4.3279999999999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5B1-4E1B-9417-D17AD2944184}"/>
                </c:ext>
              </c:extLst>
            </c:dLbl>
            <c:dLbl>
              <c:idx val="10"/>
              <c:layout>
                <c:manualLayout>
                  <c:x val="-4.1311626904061434E-2"/>
                  <c:y val="-3.8576296296296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5B1-4E1B-9417-D17AD2944184}"/>
                </c:ext>
              </c:extLst>
            </c:dLbl>
            <c:dLbl>
              <c:idx val="13"/>
              <c:layout>
                <c:manualLayout>
                  <c:x val="-2.6967312006817915E-2"/>
                  <c:y val="-4.79837037037037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5B1-4E1B-9417-D17AD2944184}"/>
                </c:ext>
              </c:extLst>
            </c:dLbl>
            <c:dLbl>
              <c:idx val="14"/>
              <c:layout>
                <c:manualLayout>
                  <c:x val="-3.4791483768950769E-2"/>
                  <c:y val="-3.6224444444444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5B1-4E1B-9417-D17AD2944184}"/>
                </c:ext>
              </c:extLst>
            </c:dLbl>
            <c:dLbl>
              <c:idx val="15"/>
              <c:layout>
                <c:manualLayout>
                  <c:x val="-2.566328337979577E-2"/>
                  <c:y val="-3.6224444444444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5B1-4E1B-9417-D17AD2944184}"/>
                </c:ext>
              </c:extLst>
            </c:dLbl>
            <c:dLbl>
              <c:idx val="17"/>
              <c:layout>
                <c:manualLayout>
                  <c:x val="-3.3487455141928628E-2"/>
                  <c:y val="-4.5631851851851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5B1-4E1B-9417-D17AD2944184}"/>
                </c:ext>
              </c:extLst>
            </c:dLbl>
            <c:dLbl>
              <c:idx val="18"/>
              <c:layout>
                <c:manualLayout>
                  <c:x val="-4.8954315029913778E-2"/>
                  <c:y val="-2.44651851851851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5B1-4E1B-9417-D17AD2944184}"/>
                </c:ext>
              </c:extLst>
            </c:dLbl>
            <c:dLbl>
              <c:idx val="19"/>
              <c:layout>
                <c:manualLayout>
                  <c:x val="-2.9666154150618827E-2"/>
                  <c:y val="-2.9168888888888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5B1-4E1B-9417-D17AD2944184}"/>
                </c:ext>
              </c:extLst>
            </c:dLbl>
            <c:dLbl>
              <c:idx val="20"/>
              <c:layout>
                <c:manualLayout>
                  <c:x val="-2.5800565289977519E-2"/>
                  <c:y val="-3.3872592592592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F88-47EC-A972-D6743B76A245}"/>
                </c:ext>
              </c:extLst>
            </c:dLbl>
            <c:dLbl>
              <c:idx val="23"/>
              <c:layout>
                <c:manualLayout>
                  <c:x val="-3.7400680986669606E-2"/>
                  <c:y val="-3.15207407407407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F88-47EC-A972-D6743B76A245}"/>
                </c:ext>
              </c:extLst>
            </c:dLbl>
            <c:dLbl>
              <c:idx val="24"/>
              <c:layout>
                <c:manualLayout>
                  <c:x val="-1.3927025736596581E-2"/>
                  <c:y val="-4.5631851851851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95B1-4E1B-9417-D17AD2944184}"/>
                </c:ext>
              </c:extLst>
            </c:dLbl>
            <c:dLbl>
              <c:idx val="25"/>
              <c:layout>
                <c:manualLayout>
                  <c:x val="-3.3487455141928628E-2"/>
                  <c:y val="1.7868148148148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5B1-4E1B-9417-D17AD2944184}"/>
                </c:ext>
              </c:extLst>
            </c:dLbl>
            <c:dLbl>
              <c:idx val="27"/>
              <c:layout>
                <c:manualLayout>
                  <c:x val="-1.653508299064077E-2"/>
                  <c:y val="-3.622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5B1-4E1B-9417-D17AD2944184}"/>
                </c:ext>
              </c:extLst>
            </c:dLbl>
            <c:dLbl>
              <c:idx val="28"/>
              <c:layout>
                <c:manualLayout>
                  <c:x val="-6.1028539744638196E-3"/>
                  <c:y val="-1.7409629629629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5B1-4E1B-9417-D17AD2944184}"/>
                </c:ext>
              </c:extLst>
            </c:dLbl>
            <c:dLbl>
              <c:idx val="29"/>
              <c:layout>
                <c:manualLayout>
                  <c:x val="-1.516564757342862E-2"/>
                  <c:y val="-2.446518518518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5B1-4E1B-9417-D17AD2944184}"/>
                </c:ext>
              </c:extLst>
            </c:dLbl>
            <c:dLbl>
              <c:idx val="30"/>
              <c:layout>
                <c:manualLayout>
                  <c:x val="-2.0144113423353479E-2"/>
                  <c:y val="-3.152074074074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5B1-4E1B-9417-D17AD29441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'serie 1'!$B$6:$AG$6</c:f>
              <c:numCache>
                <c:formatCode>General</c:formatCode>
                <c:ptCount val="3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</c:numCache>
            </c:numRef>
          </c:cat>
          <c:val>
            <c:numRef>
              <c:f>'serie 1'!$B$7:$AG$7</c:f>
              <c:numCache>
                <c:formatCode>0.0</c:formatCode>
                <c:ptCount val="32"/>
                <c:pt idx="0">
                  <c:v>8.7142488823130719</c:v>
                </c:pt>
                <c:pt idx="1">
                  <c:v>8.8605766510352755</c:v>
                </c:pt>
                <c:pt idx="2">
                  <c:v>7.7195530267336139</c:v>
                </c:pt>
                <c:pt idx="3">
                  <c:v>29.237913798642733</c:v>
                </c:pt>
                <c:pt idx="4">
                  <c:v>32.813704063375297</c:v>
                </c:pt>
                <c:pt idx="5">
                  <c:v>2.3998630894279831</c:v>
                </c:pt>
                <c:pt idx="6">
                  <c:v>5.6506004894939208</c:v>
                </c:pt>
                <c:pt idx="7">
                  <c:v>0.42916422085206357</c:v>
                </c:pt>
                <c:pt idx="8">
                  <c:v>0.76431463162432178</c:v>
                </c:pt>
                <c:pt idx="9">
                  <c:v>3.4804200366008278</c:v>
                </c:pt>
                <c:pt idx="10">
                  <c:v>14.730146509957917</c:v>
                </c:pt>
                <c:pt idx="11">
                  <c:v>71.236768859937825</c:v>
                </c:pt>
                <c:pt idx="12">
                  <c:v>71.822025569163984</c:v>
                </c:pt>
                <c:pt idx="13">
                  <c:v>107.91932613502719</c:v>
                </c:pt>
                <c:pt idx="14">
                  <c:v>78.257772099883425</c:v>
                </c:pt>
                <c:pt idx="15">
                  <c:v>16.619558485629316</c:v>
                </c:pt>
                <c:pt idx="16">
                  <c:v>28.909209887712549</c:v>
                </c:pt>
                <c:pt idx="17">
                  <c:v>17.354094704020511</c:v>
                </c:pt>
                <c:pt idx="18">
                  <c:v>111.83801250620523</c:v>
                </c:pt>
                <c:pt idx="19">
                  <c:v>111.37201323181633</c:v>
                </c:pt>
                <c:pt idx="20">
                  <c:v>100</c:v>
                </c:pt>
                <c:pt idx="21">
                  <c:v>18.76773303738911</c:v>
                </c:pt>
                <c:pt idx="22">
                  <c:v>78.727777633927218</c:v>
                </c:pt>
                <c:pt idx="23">
                  <c:v>137.25074395828102</c:v>
                </c:pt>
                <c:pt idx="24">
                  <c:v>52.79277699334164</c:v>
                </c:pt>
                <c:pt idx="25">
                  <c:v>13.031523638279651</c:v>
                </c:pt>
                <c:pt idx="26">
                  <c:v>75.354861700707858</c:v>
                </c:pt>
                <c:pt idx="27">
                  <c:v>120.7562467641561</c:v>
                </c:pt>
                <c:pt idx="28">
                  <c:v>58.23556064748032</c:v>
                </c:pt>
                <c:pt idx="29">
                  <c:v>14.388874761246164</c:v>
                </c:pt>
                <c:pt idx="30">
                  <c:v>2.1673809643273234</c:v>
                </c:pt>
                <c:pt idx="31">
                  <c:v>0.68464663011432991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B1-4E1B-9417-D17AD2944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921999"/>
        <c:axId val="505918671"/>
      </c:lineChart>
      <c:catAx>
        <c:axId val="505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05918671"/>
        <c:crosses val="autoZero"/>
        <c:auto val="1"/>
        <c:lblAlgn val="ctr"/>
        <c:lblOffset val="100"/>
        <c:noMultiLvlLbl val="0"/>
      </c:catAx>
      <c:valAx>
        <c:axId val="5059186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59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Inversión Pública Total de la Administración Nacional</a:t>
            </a:r>
          </a:p>
          <a:p>
            <a:pPr algn="ctr">
              <a:defRPr b="1"/>
            </a:pPr>
            <a:r>
              <a:rPr lang="en-US" b="0"/>
              <a:t>Base devengado en índice (2015=100,0)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 2'!$A$7</c:f>
              <c:strCache>
                <c:ptCount val="1"/>
                <c:pt idx="0">
                  <c:v>Inversión Pública total de la Administración Nacional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7"/>
              <c:layout>
                <c:manualLayout>
                  <c:x val="-1.653508299064077E-2"/>
                  <c:y val="-3.622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68F-4ABE-AFF8-E7D31DB50975}"/>
                </c:ext>
              </c:extLst>
            </c:dLbl>
            <c:dLbl>
              <c:idx val="28"/>
              <c:layout>
                <c:manualLayout>
                  <c:x val="-6.1028539744638196E-3"/>
                  <c:y val="-1.7409629629629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68F-4ABE-AFF8-E7D31DB50975}"/>
                </c:ext>
              </c:extLst>
            </c:dLbl>
            <c:dLbl>
              <c:idx val="29"/>
              <c:layout>
                <c:manualLayout>
                  <c:x val="-1.7773704827473098E-2"/>
                  <c:y val="-2.2113333333333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68F-4ABE-AFF8-E7D31DB50975}"/>
                </c:ext>
              </c:extLst>
            </c:dLbl>
            <c:dLbl>
              <c:idx val="30"/>
              <c:layout>
                <c:manualLayout>
                  <c:x val="-4.6470651654935543E-3"/>
                  <c:y val="-2.6817037037037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282-4C2B-91FB-E692E85B7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'serie 2'!$B$6:$AF$6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'serie 2'!$B$7:$AF$7</c:f>
              <c:numCache>
                <c:formatCode>0.0</c:formatCode>
                <c:ptCount val="31"/>
                <c:pt idx="0">
                  <c:v>25.033295959339419</c:v>
                </c:pt>
                <c:pt idx="1">
                  <c:v>27.034951859551668</c:v>
                </c:pt>
                <c:pt idx="2">
                  <c:v>27.84788519344923</c:v>
                </c:pt>
                <c:pt idx="3">
                  <c:v>28.467837091794053</c:v>
                </c:pt>
                <c:pt idx="4">
                  <c:v>23.822401835944881</c:v>
                </c:pt>
                <c:pt idx="5">
                  <c:v>22.478770025271</c:v>
                </c:pt>
                <c:pt idx="6">
                  <c:v>18.390307411554158</c:v>
                </c:pt>
                <c:pt idx="7">
                  <c:v>12.674484793310302</c:v>
                </c:pt>
                <c:pt idx="8">
                  <c:v>15.989717912724569</c:v>
                </c:pt>
                <c:pt idx="9">
                  <c:v>24.336773703852131</c:v>
                </c:pt>
                <c:pt idx="10">
                  <c:v>43.124723048225242</c:v>
                </c:pt>
                <c:pt idx="11">
                  <c:v>60.383545206939374</c:v>
                </c:pt>
                <c:pt idx="12">
                  <c:v>58.089399960265112</c:v>
                </c:pt>
                <c:pt idx="13">
                  <c:v>66.100075464644107</c:v>
                </c:pt>
                <c:pt idx="14">
                  <c:v>77.422945248895687</c:v>
                </c:pt>
                <c:pt idx="15">
                  <c:v>91.317223489692751</c:v>
                </c:pt>
                <c:pt idx="16">
                  <c:v>93.986280107428172</c:v>
                </c:pt>
                <c:pt idx="17">
                  <c:v>91.048173758763497</c:v>
                </c:pt>
                <c:pt idx="18">
                  <c:v>110.50019482783969</c:v>
                </c:pt>
                <c:pt idx="19">
                  <c:v>125.42416034278287</c:v>
                </c:pt>
                <c:pt idx="20">
                  <c:v>100</c:v>
                </c:pt>
                <c:pt idx="21">
                  <c:v>73.066461161694747</c:v>
                </c:pt>
                <c:pt idx="22">
                  <c:v>76.973217614384126</c:v>
                </c:pt>
                <c:pt idx="23">
                  <c:v>60.300479631076584</c:v>
                </c:pt>
                <c:pt idx="24">
                  <c:v>35.448342431507008</c:v>
                </c:pt>
                <c:pt idx="25">
                  <c:v>36.87112131868524</c:v>
                </c:pt>
                <c:pt idx="26">
                  <c:v>93.826565559497098</c:v>
                </c:pt>
                <c:pt idx="27">
                  <c:v>57.52891915666676</c:v>
                </c:pt>
                <c:pt idx="28">
                  <c:v>53.104267531324503</c:v>
                </c:pt>
                <c:pt idx="29">
                  <c:v>13.23366373254721</c:v>
                </c:pt>
                <c:pt idx="30">
                  <c:v>9.6564807414339224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6-440B-9D5F-40B3CE85B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921999"/>
        <c:axId val="505918671"/>
      </c:lineChart>
      <c:catAx>
        <c:axId val="505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05918671"/>
        <c:crosses val="autoZero"/>
        <c:auto val="1"/>
        <c:lblAlgn val="ctr"/>
        <c:lblOffset val="100"/>
        <c:noMultiLvlLbl val="0"/>
      </c:catAx>
      <c:valAx>
        <c:axId val="5059186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59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Inversión Pública total de la Administración Nacional</a:t>
            </a:r>
          </a:p>
          <a:p>
            <a:pPr>
              <a:defRPr b="1"/>
            </a:pPr>
            <a:r>
              <a:rPr lang="en-US" b="0"/>
              <a:t>en % de PBI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'serie 3'!$A$7</c:f>
              <c:strCache>
                <c:ptCount val="1"/>
                <c:pt idx="0">
                  <c:v>Inversión Pública total de la Administración Nacional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3'!$B$6:$AG$6</c:f>
              <c:strCache>
                <c:ptCount val="3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2025*</c:v>
                </c:pt>
                <c:pt idx="31">
                  <c:v>2026**</c:v>
                </c:pt>
              </c:strCache>
            </c:strRef>
          </c:cat>
          <c:val>
            <c:numRef>
              <c:f>'serie 3'!$B$7:$AG$7</c:f>
              <c:numCache>
                <c:formatCode>0.0</c:formatCode>
                <c:ptCount val="32"/>
                <c:pt idx="0">
                  <c:v>1.30838759616883</c:v>
                </c:pt>
                <c:pt idx="1">
                  <c:v>1.3414380571380995</c:v>
                </c:pt>
                <c:pt idx="2">
                  <c:v>1.29064178276923</c:v>
                </c:pt>
                <c:pt idx="3">
                  <c:v>1.3049702240179542</c:v>
                </c:pt>
                <c:pt idx="4">
                  <c:v>1.1350596062499616</c:v>
                </c:pt>
                <c:pt idx="5">
                  <c:v>1.0590489380787176</c:v>
                </c:pt>
                <c:pt idx="6">
                  <c:v>0.90797852819262281</c:v>
                </c:pt>
                <c:pt idx="7">
                  <c:v>0.69899461710203348</c:v>
                </c:pt>
                <c:pt idx="8">
                  <c:v>0.80829411450143185</c:v>
                </c:pt>
                <c:pt idx="9">
                  <c:v>1.0004246025077863</c:v>
                </c:pt>
                <c:pt idx="10">
                  <c:v>1.6293153230409831</c:v>
                </c:pt>
                <c:pt idx="11">
                  <c:v>2.0482638685820671</c:v>
                </c:pt>
                <c:pt idx="12">
                  <c:v>1.7990923974242046</c:v>
                </c:pt>
                <c:pt idx="13">
                  <c:v>1.9532948280474631</c:v>
                </c:pt>
                <c:pt idx="14">
                  <c:v>2.4019421666638534</c:v>
                </c:pt>
                <c:pt idx="15">
                  <c:v>2.6603103619557062</c:v>
                </c:pt>
                <c:pt idx="16">
                  <c:v>2.5613843778401453</c:v>
                </c:pt>
                <c:pt idx="17">
                  <c:v>2.5235274376204928</c:v>
                </c:pt>
                <c:pt idx="18">
                  <c:v>3.0366194780345053</c:v>
                </c:pt>
                <c:pt idx="19">
                  <c:v>3.498835066454141</c:v>
                </c:pt>
                <c:pt idx="20">
                  <c:v>2.646170016574795</c:v>
                </c:pt>
                <c:pt idx="21">
                  <c:v>1.9668959060621918</c:v>
                </c:pt>
                <c:pt idx="22">
                  <c:v>1.9557164594534908</c:v>
                </c:pt>
                <c:pt idx="23">
                  <c:v>1.4877098817687009</c:v>
                </c:pt>
                <c:pt idx="24">
                  <c:v>0.92729770545154466</c:v>
                </c:pt>
                <c:pt idx="25">
                  <c:v>1.1048373411378882</c:v>
                </c:pt>
                <c:pt idx="26">
                  <c:v>2.5266011003375572</c:v>
                </c:pt>
                <c:pt idx="27">
                  <c:v>1.4230636365566862</c:v>
                </c:pt>
                <c:pt idx="28">
                  <c:v>1.2919545041233538</c:v>
                </c:pt>
                <c:pt idx="29">
                  <c:v>0.35916144063331956</c:v>
                </c:pt>
                <c:pt idx="30">
                  <c:v>0.24646094578095004</c:v>
                </c:pt>
                <c:pt idx="31">
                  <c:v>0.28901780991162701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6-4183-99DA-463DB50A9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21999"/>
        <c:axId val="505918671"/>
      </c:barChart>
      <c:catAx>
        <c:axId val="505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05918671"/>
        <c:crosses val="autoZero"/>
        <c:auto val="1"/>
        <c:lblAlgn val="ctr"/>
        <c:lblOffset val="100"/>
        <c:noMultiLvlLbl val="0"/>
      </c:catAx>
      <c:valAx>
        <c:axId val="5059186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59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Web.xlsx]serie 4!TablaDinámica1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Inversión Pública de la Administración Nacional </a:t>
            </a:r>
            <a:b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14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Base devengado por función en % del PBI</a:t>
            </a:r>
            <a:endParaRPr lang="es-AR" sz="1400" b="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'serie 4'!$C$47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4'!$B$48:$B$59</c:f>
              <c:strCache>
                <c:ptCount val="12"/>
                <c:pt idx="0">
                  <c:v> 2015</c:v>
                </c:pt>
                <c:pt idx="1">
                  <c:v> 2016</c:v>
                </c:pt>
                <c:pt idx="2">
                  <c:v> 2017</c:v>
                </c:pt>
                <c:pt idx="3">
                  <c:v> 2018</c:v>
                </c:pt>
                <c:pt idx="4">
                  <c:v> 2019</c:v>
                </c:pt>
                <c:pt idx="5">
                  <c:v> 2020</c:v>
                </c:pt>
                <c:pt idx="6">
                  <c:v> 2021</c:v>
                </c:pt>
                <c:pt idx="7">
                  <c:v>2022 </c:v>
                </c:pt>
                <c:pt idx="8">
                  <c:v>2023 </c:v>
                </c:pt>
                <c:pt idx="9">
                  <c:v>2024 </c:v>
                </c:pt>
                <c:pt idx="10">
                  <c:v>2025* </c:v>
                </c:pt>
                <c:pt idx="11">
                  <c:v>2026** </c:v>
                </c:pt>
              </c:strCache>
            </c:strRef>
          </c:cat>
          <c:val>
            <c:numRef>
              <c:f>'serie 4'!$C$48:$C$59</c:f>
              <c:numCache>
                <c:formatCode>0.00</c:formatCode>
                <c:ptCount val="12"/>
                <c:pt idx="0">
                  <c:v>0.35664591981976357</c:v>
                </c:pt>
                <c:pt idx="1">
                  <c:v>0.17726273286452435</c:v>
                </c:pt>
                <c:pt idx="2">
                  <c:v>0.16401299279077192</c:v>
                </c:pt>
                <c:pt idx="3">
                  <c:v>0.23274705468753923</c:v>
                </c:pt>
                <c:pt idx="4">
                  <c:v>0.13250323300538003</c:v>
                </c:pt>
                <c:pt idx="5">
                  <c:v>0.10373879703854337</c:v>
                </c:pt>
                <c:pt idx="6">
                  <c:v>0.6830883992354283</c:v>
                </c:pt>
                <c:pt idx="7">
                  <c:v>0.29934783222622841</c:v>
                </c:pt>
                <c:pt idx="8">
                  <c:v>0.17013337127177244</c:v>
                </c:pt>
                <c:pt idx="9">
                  <c:v>3.1278271159221362E-2</c:v>
                </c:pt>
                <c:pt idx="10">
                  <c:v>2.2921597048818011E-3</c:v>
                </c:pt>
                <c:pt idx="11">
                  <c:v>6.2783579923858654E-4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4-46ED-914C-363B87E97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209280"/>
        <c:axId val="811235072"/>
      </c:barChart>
      <c:catAx>
        <c:axId val="81120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811235072"/>
        <c:crosses val="autoZero"/>
        <c:auto val="1"/>
        <c:lblAlgn val="ctr"/>
        <c:lblOffset val="100"/>
        <c:noMultiLvlLbl val="0"/>
      </c:catAx>
      <c:valAx>
        <c:axId val="8112350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1120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Web.xlsx]serie 5!TablaDinámica2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Inversión Pública de la Administración Nacional</a:t>
            </a:r>
            <a:b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Base devengado por función en índice (Acumulado a Enero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2015=100,0)</a:t>
            </a:r>
          </a:p>
        </c:rich>
      </c:tx>
      <c:layout>
        <c:manualLayout>
          <c:xMode val="edge"/>
          <c:yMode val="edge"/>
          <c:x val="0.15234009347586955"/>
          <c:y val="2.52764571031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noFill/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flat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flat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'serie 5'!$C$45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flat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5'!$B$46:$B$57</c:f>
              <c:strCache>
                <c:ptCount val="12"/>
                <c:pt idx="0">
                  <c:v> 2015</c:v>
                </c:pt>
                <c:pt idx="1">
                  <c:v> 2016</c:v>
                </c:pt>
                <c:pt idx="2">
                  <c:v> 2017</c:v>
                </c:pt>
                <c:pt idx="3">
                  <c:v> 2018</c:v>
                </c:pt>
                <c:pt idx="4">
                  <c:v> 2019</c:v>
                </c:pt>
                <c:pt idx="5">
                  <c:v> 2020</c:v>
                </c:pt>
                <c:pt idx="6">
                  <c:v> 2021</c:v>
                </c:pt>
                <c:pt idx="7">
                  <c:v>2022 </c:v>
                </c:pt>
                <c:pt idx="8">
                  <c:v>2023 </c:v>
                </c:pt>
                <c:pt idx="9">
                  <c:v>2024 </c:v>
                </c:pt>
                <c:pt idx="10">
                  <c:v>2025 </c:v>
                </c:pt>
                <c:pt idx="11">
                  <c:v>2026 </c:v>
                </c:pt>
              </c:strCache>
            </c:strRef>
          </c:cat>
          <c:val>
            <c:numRef>
              <c:f>'serie 5'!$C$46:$C$57</c:f>
              <c:numCache>
                <c:formatCode>0.0</c:formatCode>
                <c:ptCount val="12"/>
                <c:pt idx="0">
                  <c:v>100</c:v>
                </c:pt>
                <c:pt idx="1">
                  <c:v>0</c:v>
                </c:pt>
                <c:pt idx="2">
                  <c:v>948.75358307292959</c:v>
                </c:pt>
                <c:pt idx="3">
                  <c:v>849.18983705469088</c:v>
                </c:pt>
                <c:pt idx="4">
                  <c:v>163.88094498015658</c:v>
                </c:pt>
                <c:pt idx="5">
                  <c:v>235.85958544523351</c:v>
                </c:pt>
                <c:pt idx="6">
                  <c:v>218.73621650002224</c:v>
                </c:pt>
                <c:pt idx="7">
                  <c:v>682.89809945114985</c:v>
                </c:pt>
                <c:pt idx="8">
                  <c:v>134.71770473683856</c:v>
                </c:pt>
                <c:pt idx="9">
                  <c:v>60.091975027384656</c:v>
                </c:pt>
                <c:pt idx="10">
                  <c:v>28.065121930111523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B-4C6E-8716-A71A6AFD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635472"/>
        <c:axId val="1726630896"/>
      </c:lineChart>
      <c:catAx>
        <c:axId val="17266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26630896"/>
        <c:crosses val="autoZero"/>
        <c:auto val="1"/>
        <c:lblAlgn val="ctr"/>
        <c:lblOffset val="100"/>
        <c:noMultiLvlLbl val="0"/>
      </c:catAx>
      <c:valAx>
        <c:axId val="172663089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2663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Web.xlsx]serie 6!TablaDinámica2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Inversión Pública de la Administración Nacional</a:t>
            </a:r>
            <a:b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Base devengado por función en índice (2015=100,0)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noFill/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flat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'serie 6'!$C$45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flat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6'!$B$46:$B$56</c:f>
              <c:strCache>
                <c:ptCount val="11"/>
                <c:pt idx="0">
                  <c:v> 2015</c:v>
                </c:pt>
                <c:pt idx="1">
                  <c:v> 2016</c:v>
                </c:pt>
                <c:pt idx="2">
                  <c:v> 2017</c:v>
                </c:pt>
                <c:pt idx="3">
                  <c:v> 2018</c:v>
                </c:pt>
                <c:pt idx="4">
                  <c:v> 2019</c:v>
                </c:pt>
                <c:pt idx="5">
                  <c:v> 2020</c:v>
                </c:pt>
                <c:pt idx="6">
                  <c:v> 2021</c:v>
                </c:pt>
                <c:pt idx="7">
                  <c:v>2022 </c:v>
                </c:pt>
                <c:pt idx="8">
                  <c:v>2023 </c:v>
                </c:pt>
                <c:pt idx="9">
                  <c:v>2024 </c:v>
                </c:pt>
                <c:pt idx="10">
                  <c:v>2025 </c:v>
                </c:pt>
              </c:strCache>
            </c:strRef>
          </c:cat>
          <c:val>
            <c:numRef>
              <c:f>'serie 6'!$C$46:$C$56</c:f>
              <c:numCache>
                <c:formatCode>0.0</c:formatCode>
                <c:ptCount val="11"/>
                <c:pt idx="0">
                  <c:v>100</c:v>
                </c:pt>
                <c:pt idx="1">
                  <c:v>90.581233143032492</c:v>
                </c:pt>
                <c:pt idx="2">
                  <c:v>80.893817296616504</c:v>
                </c:pt>
                <c:pt idx="3">
                  <c:v>74.702352473674978</c:v>
                </c:pt>
                <c:pt idx="4">
                  <c:v>52.401377642053937</c:v>
                </c:pt>
                <c:pt idx="5">
                  <c:v>117.35375335745263</c:v>
                </c:pt>
                <c:pt idx="6">
                  <c:v>200.68320211855089</c:v>
                </c:pt>
                <c:pt idx="7">
                  <c:v>95.477178196926218</c:v>
                </c:pt>
                <c:pt idx="8">
                  <c:v>90.990182730219146</c:v>
                </c:pt>
                <c:pt idx="9">
                  <c:v>15.862205147009817</c:v>
                </c:pt>
                <c:pt idx="10">
                  <c:v>9.4384109366703708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D-4192-8F25-0D4FB36C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635472"/>
        <c:axId val="1726630896"/>
      </c:lineChart>
      <c:catAx>
        <c:axId val="17266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26630896"/>
        <c:crosses val="autoZero"/>
        <c:auto val="1"/>
        <c:lblAlgn val="ctr"/>
        <c:lblOffset val="100"/>
        <c:noMultiLvlLbl val="0"/>
      </c:catAx>
      <c:valAx>
        <c:axId val="172663089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2663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Gastos de Capital del Sector Público Nacional 1997-2026</a:t>
            </a:r>
            <a:br>
              <a:rPr lang="en-US"/>
            </a:br>
            <a:r>
              <a:rPr lang="en-US" b="0"/>
              <a:t>Base caja en % del PBI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'serie 7'!$A$7</c:f>
              <c:strCache>
                <c:ptCount val="1"/>
                <c:pt idx="0">
                  <c:v>Sector Público Nacional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7'!$B$6:$AE$6</c:f>
              <c:strCache>
                <c:ptCount val="30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2025*</c:v>
                </c:pt>
                <c:pt idx="29">
                  <c:v>2026**</c:v>
                </c:pt>
              </c:strCache>
            </c:strRef>
          </c:cat>
          <c:val>
            <c:numRef>
              <c:f>'serie 7'!$B$7:$AE$7</c:f>
              <c:numCache>
                <c:formatCode>0.0</c:formatCode>
                <c:ptCount val="30"/>
                <c:pt idx="0">
                  <c:v>1.2957435335407963</c:v>
                </c:pt>
                <c:pt idx="1">
                  <c:v>1.2601507497816682</c:v>
                </c:pt>
                <c:pt idx="2">
                  <c:v>1.1204381217440473</c:v>
                </c:pt>
                <c:pt idx="3">
                  <c:v>1.0214855019149294</c:v>
                </c:pt>
                <c:pt idx="4">
                  <c:v>0.9839718543632332</c:v>
                </c:pt>
                <c:pt idx="5">
                  <c:v>0.69809297545263094</c:v>
                </c:pt>
                <c:pt idx="6">
                  <c:v>0.84874183499979905</c:v>
                </c:pt>
                <c:pt idx="7">
                  <c:v>1.1939844521436576</c:v>
                </c:pt>
                <c:pt idx="8">
                  <c:v>1.7173466846913756</c:v>
                </c:pt>
                <c:pt idx="9">
                  <c:v>2.2991481752352523</c:v>
                </c:pt>
                <c:pt idx="10">
                  <c:v>2.218889622682402</c:v>
                </c:pt>
                <c:pt idx="11">
                  <c:v>2.0507528528219567</c:v>
                </c:pt>
                <c:pt idx="12">
                  <c:v>2.884418283658571</c:v>
                </c:pt>
                <c:pt idx="13">
                  <c:v>2.7465562530637646</c:v>
                </c:pt>
                <c:pt idx="14">
                  <c:v>2.4555396110967664</c:v>
                </c:pt>
                <c:pt idx="15">
                  <c:v>2.3421538213537403</c:v>
                </c:pt>
                <c:pt idx="16">
                  <c:v>2.7102341471543112</c:v>
                </c:pt>
                <c:pt idx="17">
                  <c:v>2.8666809884079387</c:v>
                </c:pt>
                <c:pt idx="18">
                  <c:v>2.70194148299217</c:v>
                </c:pt>
                <c:pt idx="19">
                  <c:v>2.2124656036280164</c:v>
                </c:pt>
                <c:pt idx="20">
                  <c:v>1.9505585654309769</c:v>
                </c:pt>
                <c:pt idx="21">
                  <c:v>1.4262387263082577</c:v>
                </c:pt>
                <c:pt idx="22">
                  <c:v>1.0963764284852826</c:v>
                </c:pt>
                <c:pt idx="23">
                  <c:v>1.0276670708865576</c:v>
                </c:pt>
                <c:pt idx="24">
                  <c:v>1.4086337299502212</c:v>
                </c:pt>
                <c:pt idx="25">
                  <c:v>1.608997965185087</c:v>
                </c:pt>
                <c:pt idx="26">
                  <c:v>1.5957496268770739</c:v>
                </c:pt>
                <c:pt idx="27">
                  <c:v>0.40575024578727237</c:v>
                </c:pt>
                <c:pt idx="28">
                  <c:v>0.35245295710435071</c:v>
                </c:pt>
                <c:pt idx="29">
                  <c:v>0.49749795810139835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5-4A54-97AD-576F50BB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21999"/>
        <c:axId val="505918671"/>
      </c:barChart>
      <c:catAx>
        <c:axId val="505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05918671"/>
        <c:crosses val="autoZero"/>
        <c:auto val="1"/>
        <c:lblAlgn val="ctr"/>
        <c:lblOffset val="100"/>
        <c:noMultiLvlLbl val="0"/>
      </c:catAx>
      <c:valAx>
        <c:axId val="5059186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59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Gastos de Capital del Sector Público Nacional 1997-2026</a:t>
            </a:r>
            <a:br>
              <a:rPr lang="en-US"/>
            </a:br>
            <a:r>
              <a:rPr lang="en-US" b="0"/>
              <a:t>Base caja en índice (Acumulado a Enero</a:t>
            </a:r>
            <a:r>
              <a:rPr lang="en-US" b="0" baseline="0"/>
              <a:t> 2019</a:t>
            </a:r>
            <a:r>
              <a:rPr lang="en-US" b="0"/>
              <a:t>=100,0)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 8'!$A$7</c:f>
              <c:strCache>
                <c:ptCount val="1"/>
                <c:pt idx="0">
                  <c:v>Sector Público Nacional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8"/>
              <c:layout>
                <c:manualLayout>
                  <c:x val="-2.4194650205761316E-2"/>
                  <c:y val="-3.03448148148148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339-42CB-87CC-F61B44281A8E}"/>
                </c:ext>
              </c:extLst>
            </c:dLbl>
            <c:dLbl>
              <c:idx val="19"/>
              <c:layout>
                <c:manualLayout>
                  <c:x val="-1.8527366255144034E-2"/>
                  <c:y val="-3.2696666666666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5F3-4C20-9822-4CF96066C04F}"/>
                </c:ext>
              </c:extLst>
            </c:dLbl>
            <c:dLbl>
              <c:idx val="20"/>
              <c:layout>
                <c:manualLayout>
                  <c:x val="-1.7220781893004116E-2"/>
                  <c:y val="-3.5048518518518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5F3-4C20-9822-4CF96066C04F}"/>
                </c:ext>
              </c:extLst>
            </c:dLbl>
            <c:dLbl>
              <c:idx val="27"/>
              <c:layout>
                <c:manualLayout>
                  <c:x val="-5.0751028806584365E-2"/>
                  <c:y val="-2.56411111111111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339-42CB-87CC-F61B44281A8E}"/>
                </c:ext>
              </c:extLst>
            </c:dLbl>
            <c:dLbl>
              <c:idx val="28"/>
              <c:layout>
                <c:manualLayout>
                  <c:x val="-2.9222427983539096E-2"/>
                  <c:y val="-2.5641111111111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5F3-4C20-9822-4CF96066C04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'serie 8'!$B$6:$AE$6</c:f>
              <c:numCache>
                <c:formatCode>General</c:formatCode>
                <c:ptCount val="30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  <c:pt idx="29">
                  <c:v>2026</c:v>
                </c:pt>
              </c:numCache>
            </c:numRef>
          </c:cat>
          <c:val>
            <c:numRef>
              <c:f>'serie 8'!$B$7:$AE$7</c:f>
              <c:numCache>
                <c:formatCode>0.0</c:formatCode>
                <c:ptCount val="30"/>
                <c:pt idx="0">
                  <c:v>50.185946969181032</c:v>
                </c:pt>
                <c:pt idx="1">
                  <c:v>59.412628344968134</c:v>
                </c:pt>
                <c:pt idx="2">
                  <c:v>60.890048967297098</c:v>
                </c:pt>
                <c:pt idx="3">
                  <c:v>42.359505957269647</c:v>
                </c:pt>
                <c:pt idx="4">
                  <c:v>54.818692528157023</c:v>
                </c:pt>
                <c:pt idx="5">
                  <c:v>31.302192790776321</c:v>
                </c:pt>
                <c:pt idx="6">
                  <c:v>32.832081122206297</c:v>
                </c:pt>
                <c:pt idx="7">
                  <c:v>45.827019453712872</c:v>
                </c:pt>
                <c:pt idx="8">
                  <c:v>84.753306373402111</c:v>
                </c:pt>
                <c:pt idx="9">
                  <c:v>130.3978224122344</c:v>
                </c:pt>
                <c:pt idx="10">
                  <c:v>156.81805658722215</c:v>
                </c:pt>
                <c:pt idx="11">
                  <c:v>178.81701650346957</c:v>
                </c:pt>
                <c:pt idx="12">
                  <c:v>210.8538244253549</c:v>
                </c:pt>
                <c:pt idx="13">
                  <c:v>152.41959963395544</c:v>
                </c:pt>
                <c:pt idx="14">
                  <c:v>182.16327584135792</c:v>
                </c:pt>
                <c:pt idx="15">
                  <c:v>194.32232004946934</c:v>
                </c:pt>
                <c:pt idx="16">
                  <c:v>197.0494872002314</c:v>
                </c:pt>
                <c:pt idx="17">
                  <c:v>204.36203231681324</c:v>
                </c:pt>
                <c:pt idx="18">
                  <c:v>224.90787985059319</c:v>
                </c:pt>
                <c:pt idx="19">
                  <c:v>207.29883942506115</c:v>
                </c:pt>
                <c:pt idx="20">
                  <c:v>178.43016528554736</c:v>
                </c:pt>
                <c:pt idx="21">
                  <c:v>85.469571510602108</c:v>
                </c:pt>
                <c:pt idx="22">
                  <c:v>100</c:v>
                </c:pt>
                <c:pt idx="23">
                  <c:v>42.363726994062731</c:v>
                </c:pt>
                <c:pt idx="24">
                  <c:v>89.647568261882483</c:v>
                </c:pt>
                <c:pt idx="25">
                  <c:v>108.97211994631401</c:v>
                </c:pt>
                <c:pt idx="26">
                  <c:v>137.87671936090922</c:v>
                </c:pt>
                <c:pt idx="27">
                  <c:v>19.349631015728882</c:v>
                </c:pt>
                <c:pt idx="28">
                  <c:v>23.073203288023276</c:v>
                </c:pt>
                <c:pt idx="29">
                  <c:v>14.776098347145501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9-42CB-87CC-F61B44281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921999"/>
        <c:axId val="505918671"/>
      </c:lineChart>
      <c:catAx>
        <c:axId val="505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05918671"/>
        <c:crosses val="autoZero"/>
        <c:auto val="1"/>
        <c:lblAlgn val="ctr"/>
        <c:lblOffset val="100"/>
        <c:noMultiLvlLbl val="0"/>
      </c:catAx>
      <c:valAx>
        <c:axId val="5059186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59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Gastos de Capital del Sector Público Nacional 1997-2025</a:t>
            </a:r>
            <a:br>
              <a:rPr lang="en-US"/>
            </a:br>
            <a:r>
              <a:rPr lang="en-US" b="0"/>
              <a:t>Base caja en índice (2019=100,0)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6643106995884774E-2"/>
          <c:y val="0.11571111111111111"/>
          <c:w val="0.96421080246913582"/>
          <c:h val="0.77820740740740746"/>
        </c:manualLayout>
      </c:layout>
      <c:lineChart>
        <c:grouping val="standard"/>
        <c:varyColors val="0"/>
        <c:ser>
          <c:idx val="0"/>
          <c:order val="0"/>
          <c:tx>
            <c:strRef>
              <c:f>'serie 9'!$A$7</c:f>
              <c:strCache>
                <c:ptCount val="1"/>
                <c:pt idx="0">
                  <c:v>Sector Público Nacional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8"/>
              <c:layout>
                <c:manualLayout>
                  <c:x val="-2.4194650205761316E-2"/>
                  <c:y val="-3.03448148148148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7E2-46CF-B7F2-FBD6BBF8816E}"/>
                </c:ext>
              </c:extLst>
            </c:dLbl>
            <c:dLbl>
              <c:idx val="26"/>
              <c:layout>
                <c:manualLayout>
                  <c:x val="-2.4194650205761316E-2"/>
                  <c:y val="-3.2696666666666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907-4451-9D11-E7AB3F31C9E9}"/>
                </c:ext>
              </c:extLst>
            </c:dLbl>
            <c:dLbl>
              <c:idx val="27"/>
              <c:layout>
                <c:manualLayout>
                  <c:x val="-1.2409773662551632E-2"/>
                  <c:y val="-2.0937407407407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F06-431C-9123-CFE6E233AD09}"/>
                </c:ext>
              </c:extLst>
            </c:dLbl>
            <c:dLbl>
              <c:idx val="28"/>
              <c:layout>
                <c:manualLayout>
                  <c:x val="-5.6790123456790123E-5"/>
                  <c:y val="1.9044074074074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907-4451-9D11-E7AB3F31C9E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'serie 9'!$B$6:$AD$6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'serie 9'!$B$7:$AD$7</c:f>
              <c:numCache>
                <c:formatCode>0.0</c:formatCode>
                <c:ptCount val="29"/>
                <c:pt idx="0">
                  <c:v>65.006783158499104</c:v>
                </c:pt>
                <c:pt idx="1">
                  <c:v>63.939100189931068</c:v>
                </c:pt>
                <c:pt idx="2">
                  <c:v>54.541571203986621</c:v>
                </c:pt>
                <c:pt idx="3">
                  <c:v>50.331037862848504</c:v>
                </c:pt>
                <c:pt idx="4">
                  <c:v>46.274214272526066</c:v>
                </c:pt>
                <c:pt idx="5">
                  <c:v>30.388724507626584</c:v>
                </c:pt>
                <c:pt idx="6">
                  <c:v>39.159529527388507</c:v>
                </c:pt>
                <c:pt idx="7">
                  <c:v>67.933959549346028</c:v>
                </c:pt>
                <c:pt idx="8">
                  <c:v>106.76239556888184</c:v>
                </c:pt>
                <c:pt idx="9">
                  <c:v>158.60245739138375</c:v>
                </c:pt>
                <c:pt idx="10">
                  <c:v>168.26624973166173</c:v>
                </c:pt>
                <c:pt idx="11">
                  <c:v>164.10619697112355</c:v>
                </c:pt>
                <c:pt idx="12">
                  <c:v>219.61061441102964</c:v>
                </c:pt>
                <c:pt idx="13">
                  <c:v>223.45511799372716</c:v>
                </c:pt>
                <c:pt idx="14">
                  <c:v>214.15593521969546</c:v>
                </c:pt>
                <c:pt idx="15">
                  <c:v>202.06990147416661</c:v>
                </c:pt>
                <c:pt idx="16">
                  <c:v>237.48684991887635</c:v>
                </c:pt>
                <c:pt idx="17">
                  <c:v>247.64782083282455</c:v>
                </c:pt>
                <c:pt idx="18">
                  <c:v>244.39899514511481</c:v>
                </c:pt>
                <c:pt idx="19">
                  <c:v>196.58576888689149</c:v>
                </c:pt>
                <c:pt idx="20">
                  <c:v>181.21058468081696</c:v>
                </c:pt>
                <c:pt idx="21">
                  <c:v>134.07056185961122</c:v>
                </c:pt>
                <c:pt idx="22">
                  <c:v>100</c:v>
                </c:pt>
                <c:pt idx="23">
                  <c:v>81.267565318134359</c:v>
                </c:pt>
                <c:pt idx="24">
                  <c:v>126.92060871870662</c:v>
                </c:pt>
                <c:pt idx="25">
                  <c:v>149.40070269391822</c:v>
                </c:pt>
                <c:pt idx="26">
                  <c:v>155.27349944166417</c:v>
                </c:pt>
                <c:pt idx="27">
                  <c:v>35.331957235116214</c:v>
                </c:pt>
                <c:pt idx="28">
                  <c:v>32.915038163228665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D-49A7-9934-54280095E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921999"/>
        <c:axId val="505918671"/>
      </c:lineChart>
      <c:catAx>
        <c:axId val="5059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05918671"/>
        <c:crosses val="autoZero"/>
        <c:auto val="1"/>
        <c:lblAlgn val="ctr"/>
        <c:lblOffset val="100"/>
        <c:noMultiLvlLbl val="0"/>
      </c:catAx>
      <c:valAx>
        <c:axId val="5059186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59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Web.xlsx]serie 10!TablaDinámica12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Gastos de Capital del Sector Público Nacional por Función</a:t>
            </a:r>
            <a:b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Base caja en % del PBI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'serie 10'!$C$43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10'!$B$44:$B$53</c:f>
              <c:strCache>
                <c:ptCount val="10"/>
                <c:pt idx="0">
                  <c:v> 2016</c:v>
                </c:pt>
                <c:pt idx="1">
                  <c:v> 2017</c:v>
                </c:pt>
                <c:pt idx="2">
                  <c:v> 2018</c:v>
                </c:pt>
                <c:pt idx="3">
                  <c:v> 2019</c:v>
                </c:pt>
                <c:pt idx="4">
                  <c:v> 2020</c:v>
                </c:pt>
                <c:pt idx="5">
                  <c:v> 2021</c:v>
                </c:pt>
                <c:pt idx="6">
                  <c:v> 2022</c:v>
                </c:pt>
                <c:pt idx="7">
                  <c:v> 2023</c:v>
                </c:pt>
                <c:pt idx="8">
                  <c:v> 2024</c:v>
                </c:pt>
                <c:pt idx="9">
                  <c:v> 2025*</c:v>
                </c:pt>
              </c:strCache>
            </c:strRef>
          </c:cat>
          <c:val>
            <c:numRef>
              <c:f>'serie 10'!$C$44:$C$53</c:f>
              <c:numCache>
                <c:formatCode>0.0</c:formatCode>
                <c:ptCount val="10"/>
                <c:pt idx="0">
                  <c:v>0.33641788069131795</c:v>
                </c:pt>
                <c:pt idx="1">
                  <c:v>0.28104088026434304</c:v>
                </c:pt>
                <c:pt idx="2">
                  <c:v>0.1433100801530153</c:v>
                </c:pt>
                <c:pt idx="3">
                  <c:v>0.1055435407222729</c:v>
                </c:pt>
                <c:pt idx="4">
                  <c:v>4.9034513538900412E-2</c:v>
                </c:pt>
                <c:pt idx="5">
                  <c:v>0.11043641743484781</c:v>
                </c:pt>
                <c:pt idx="6">
                  <c:v>0.22530140992120434</c:v>
                </c:pt>
                <c:pt idx="7">
                  <c:v>0.21254707331404249</c:v>
                </c:pt>
                <c:pt idx="8">
                  <c:v>1.7192729377622153E-2</c:v>
                </c:pt>
                <c:pt idx="9">
                  <c:v>6.8958583591588792E-3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F4-4A3D-8034-756CF1AC3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6650032"/>
        <c:axId val="1726663760"/>
      </c:barChart>
      <c:catAx>
        <c:axId val="17266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26663760"/>
        <c:crosses val="autoZero"/>
        <c:auto val="1"/>
        <c:lblAlgn val="ctr"/>
        <c:lblOffset val="100"/>
        <c:noMultiLvlLbl val="0"/>
      </c:catAx>
      <c:valAx>
        <c:axId val="172666376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2665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Web.xlsx]serie 11!TablaDinámica15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Gastos de Capital del Sector Público Nacional por Función</a:t>
            </a:r>
            <a:b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14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Base caja en índice (Acumulado a Enero 2019=100,0)</a:t>
            </a:r>
            <a:endParaRPr lang="es-AR" sz="11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marker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825324074074074E-2"/>
              <c:y val="-7.67402777777778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825324074074074E-2"/>
              <c:y val="-7.67402777777778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4003175918254627E-2"/>
              <c:y val="-7.23305555555555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1286645943804475E-2"/>
          <c:y val="0.29259259259259257"/>
          <c:w val="0.95742670811239106"/>
          <c:h val="0.52456388888888894"/>
        </c:manualLayout>
      </c:layout>
      <c:lineChart>
        <c:grouping val="standard"/>
        <c:varyColors val="0"/>
        <c:ser>
          <c:idx val="0"/>
          <c:order val="0"/>
          <c:tx>
            <c:strRef>
              <c:f>'serie 11'!$C$40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9D-4AB5-AE7E-E43BF26EA28E}"/>
              </c:ext>
            </c:extLst>
          </c:dPt>
          <c:dLbls>
            <c:dLbl>
              <c:idx val="1"/>
              <c:layout>
                <c:manualLayout>
                  <c:x val="-2.4003175918254627E-2"/>
                  <c:y val="-7.23305555555555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ABB-4F75-B179-64A12B65DB92}"/>
                </c:ext>
              </c:extLst>
            </c:dLbl>
            <c:dLbl>
              <c:idx val="8"/>
              <c:layout>
                <c:manualLayout>
                  <c:x val="-1.825324074074074E-2"/>
                  <c:y val="-7.67402777777778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9D-4AB5-AE7E-E43BF26EA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11'!$B$41:$B$51</c:f>
              <c:strCache>
                <c:ptCount val="11"/>
                <c:pt idx="0">
                  <c:v> 2016</c:v>
                </c:pt>
                <c:pt idx="1">
                  <c:v> 2017</c:v>
                </c:pt>
                <c:pt idx="2">
                  <c:v> 2018</c:v>
                </c:pt>
                <c:pt idx="3">
                  <c:v> 2019</c:v>
                </c:pt>
                <c:pt idx="4">
                  <c:v> 2020</c:v>
                </c:pt>
                <c:pt idx="5">
                  <c:v> 2021</c:v>
                </c:pt>
                <c:pt idx="6">
                  <c:v> 2022</c:v>
                </c:pt>
                <c:pt idx="7">
                  <c:v> 2023</c:v>
                </c:pt>
                <c:pt idx="8">
                  <c:v> 2024</c:v>
                </c:pt>
                <c:pt idx="9">
                  <c:v>2025 </c:v>
                </c:pt>
                <c:pt idx="10">
                  <c:v>2026 </c:v>
                </c:pt>
              </c:strCache>
            </c:strRef>
          </c:cat>
          <c:val>
            <c:numRef>
              <c:f>'serie 11'!$C$41:$C$51</c:f>
              <c:numCache>
                <c:formatCode>0.0</c:formatCode>
                <c:ptCount val="11"/>
                <c:pt idx="0">
                  <c:v>176.48919084363789</c:v>
                </c:pt>
                <c:pt idx="1">
                  <c:v>249.42240475208521</c:v>
                </c:pt>
                <c:pt idx="2">
                  <c:v>78.067623039118928</c:v>
                </c:pt>
                <c:pt idx="3">
                  <c:v>100</c:v>
                </c:pt>
                <c:pt idx="4">
                  <c:v>15.303484487672947</c:v>
                </c:pt>
                <c:pt idx="5">
                  <c:v>280.62580371652012</c:v>
                </c:pt>
                <c:pt idx="6">
                  <c:v>245.9700599289221</c:v>
                </c:pt>
                <c:pt idx="7">
                  <c:v>215.6595373107919</c:v>
                </c:pt>
                <c:pt idx="8">
                  <c:v>47.814098848504933</c:v>
                </c:pt>
                <c:pt idx="9">
                  <c:v>51.987763904252454</c:v>
                </c:pt>
                <c:pt idx="10">
                  <c:v>56.761479097675711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9D-4AB5-AE7E-E43BF26EA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39648"/>
        <c:axId val="811271264"/>
      </c:lineChart>
      <c:catAx>
        <c:axId val="8112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811271264"/>
        <c:crosses val="autoZero"/>
        <c:auto val="1"/>
        <c:lblAlgn val="ctr"/>
        <c:lblOffset val="100"/>
        <c:noMultiLvlLbl val="0"/>
      </c:catAx>
      <c:valAx>
        <c:axId val="8112712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1123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Web.xlsx]serie 12!TablaDinámica15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Gastos de Capital del Sector Público Nacional por Función</a:t>
            </a:r>
            <a:b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1400" b="0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Base caja en índice (2019=100,0)</a:t>
            </a:r>
            <a:endParaRPr lang="es-AR" sz="11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marker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825324074074074E-2"/>
              <c:y val="-7.67402777777778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1286645943804475E-2"/>
          <c:y val="0.29259259259259257"/>
          <c:w val="0.95742670811239106"/>
          <c:h val="0.52456388888888894"/>
        </c:manualLayout>
      </c:layout>
      <c:lineChart>
        <c:grouping val="standard"/>
        <c:varyColors val="0"/>
        <c:ser>
          <c:idx val="0"/>
          <c:order val="0"/>
          <c:tx>
            <c:strRef>
              <c:f>'serie 12'!$C$40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AD7-4331-B861-6BFA594A8B1D}"/>
              </c:ext>
            </c:extLst>
          </c:dPt>
          <c:dLbls>
            <c:dLbl>
              <c:idx val="8"/>
              <c:layout>
                <c:manualLayout>
                  <c:x val="-1.825324074074074E-2"/>
                  <c:y val="-7.67402777777778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AD7-4331-B861-6BFA594A8B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'serie 12'!$B$41:$B$50</c:f>
              <c:strCache>
                <c:ptCount val="10"/>
                <c:pt idx="0">
                  <c:v> 2016</c:v>
                </c:pt>
                <c:pt idx="1">
                  <c:v> 2017</c:v>
                </c:pt>
                <c:pt idx="2">
                  <c:v> 2018</c:v>
                </c:pt>
                <c:pt idx="3">
                  <c:v> 2019</c:v>
                </c:pt>
                <c:pt idx="4">
                  <c:v> 2020</c:v>
                </c:pt>
                <c:pt idx="5">
                  <c:v> 2021</c:v>
                </c:pt>
                <c:pt idx="6">
                  <c:v> 2022</c:v>
                </c:pt>
                <c:pt idx="7">
                  <c:v> 2023</c:v>
                </c:pt>
                <c:pt idx="8">
                  <c:v> 2024</c:v>
                </c:pt>
                <c:pt idx="9">
                  <c:v> 2025</c:v>
                </c:pt>
              </c:strCache>
            </c:strRef>
          </c:cat>
          <c:val>
            <c:numRef>
              <c:f>'serie 12'!$C$41:$C$50</c:f>
              <c:numCache>
                <c:formatCode>0.0</c:formatCode>
                <c:ptCount val="10"/>
                <c:pt idx="0">
                  <c:v>166.75076162086654</c:v>
                </c:pt>
                <c:pt idx="1">
                  <c:v>171.25204677722942</c:v>
                </c:pt>
                <c:pt idx="2">
                  <c:v>119.47546310162735</c:v>
                </c:pt>
                <c:pt idx="3">
                  <c:v>100</c:v>
                </c:pt>
                <c:pt idx="4">
                  <c:v>167.30178311294057</c:v>
                </c:pt>
                <c:pt idx="5">
                  <c:v>177.60021611641767</c:v>
                </c:pt>
                <c:pt idx="6">
                  <c:v>190.13424184937017</c:v>
                </c:pt>
                <c:pt idx="7">
                  <c:v>189.39660603905327</c:v>
                </c:pt>
                <c:pt idx="8">
                  <c:v>43.500318733874401</c:v>
                </c:pt>
                <c:pt idx="9">
                  <c:v>46.788123736631121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B-4504-993B-6D300568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39648"/>
        <c:axId val="811271264"/>
      </c:lineChart>
      <c:catAx>
        <c:axId val="8112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811271264"/>
        <c:crosses val="autoZero"/>
        <c:auto val="1"/>
        <c:lblAlgn val="ctr"/>
        <c:lblOffset val="100"/>
        <c:noMultiLvlLbl val="0"/>
      </c:catAx>
      <c:valAx>
        <c:axId val="8112712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1123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[Noviembre 2025 -Series de Inversión Pública y Gastos de Capital_Actualizado para Web.xlsx]Dev vs caja!TablaDinámica1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</a:schemeClr>
            </a:solidFill>
            <a:ln w="9525">
              <a:solidFill>
                <a:schemeClr val="bg1">
                  <a:lumMod val="9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</a:schemeClr>
            </a:solidFill>
            <a:ln w="9525">
              <a:solidFill>
                <a:schemeClr val="bg1">
                  <a:lumMod val="9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'Dev vs caja'!$B$23:$B$24</c:f>
              <c:strCache>
                <c:ptCount val="1"/>
                <c:pt idx="0">
                  <c:v>Base devengado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'Dev vs caja'!$A$25:$A$32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'Dev vs caja'!$B$25:$B$32</c:f>
              <c:numCache>
                <c:formatCode>0.0</c:formatCode>
                <c:ptCount val="8"/>
                <c:pt idx="0">
                  <c:v>100</c:v>
                </c:pt>
                <c:pt idx="1">
                  <c:v>31.640017477125337</c:v>
                </c:pt>
                <c:pt idx="2">
                  <c:v>64.629037881716386</c:v>
                </c:pt>
                <c:pt idx="3">
                  <c:v>117.88746416263763</c:v>
                </c:pt>
                <c:pt idx="4">
                  <c:v>42.842512863310624</c:v>
                </c:pt>
                <c:pt idx="5">
                  <c:v>13.079404452452062</c:v>
                </c:pt>
                <c:pt idx="6">
                  <c:v>89.229824399973111</c:v>
                </c:pt>
                <c:pt idx="7">
                  <c:v>155.28980418306662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7-4A4B-84E2-15009084DC0F}"/>
            </c:ext>
          </c:extLst>
        </c:ser>
        <c:ser>
          <c:idx val="1"/>
          <c:order val="1"/>
          <c:tx>
            <c:strRef>
              <c:f>'Dev vs caja'!$C$23:$C$24</c:f>
              <c:strCache>
                <c:ptCount val="1"/>
                <c:pt idx="0">
                  <c:v>Base Caja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'Dev vs caja'!$A$25:$A$32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'Dev vs caja'!$C$25:$C$32</c:f>
              <c:numCache>
                <c:formatCode>0.0</c:formatCode>
                <c:ptCount val="8"/>
                <c:pt idx="0">
                  <c:v>0</c:v>
                </c:pt>
                <c:pt idx="1">
                  <c:v>100</c:v>
                </c:pt>
                <c:pt idx="2">
                  <c:v>180.51799895423176</c:v>
                </c:pt>
                <c:pt idx="3">
                  <c:v>71.480442919461495</c:v>
                </c:pt>
                <c:pt idx="4">
                  <c:v>56.60350185927178</c:v>
                </c:pt>
                <c:pt idx="5">
                  <c:v>12.280429521017233</c:v>
                </c:pt>
                <c:pt idx="6">
                  <c:v>29.726218606217408</c:v>
                </c:pt>
                <c:pt idx="7">
                  <c:v>72.550102247602226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7-4A4B-84E2-15009084D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582271"/>
        <c:axId val="222578943"/>
      </c:lineChart>
      <c:catAx>
        <c:axId val="22258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2578943"/>
        <c:crosses val="autoZero"/>
        <c:auto val="1"/>
        <c:lblAlgn val="ctr"/>
        <c:lblOffset val="100"/>
        <c:noMultiLvlLbl val="0"/>
      </c:catAx>
      <c:valAx>
        <c:axId val="22257894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258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8</xdr:row>
      <xdr:rowOff>180975</xdr:rowOff>
    </xdr:from>
    <xdr:to>
      <xdr:col>18</xdr:col>
      <xdr:colOff>318825</xdr:colOff>
      <xdr:row>37</xdr:row>
      <xdr:rowOff>56475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8</xdr:row>
      <xdr:rowOff>180975</xdr:rowOff>
    </xdr:from>
    <xdr:to>
      <xdr:col>18</xdr:col>
      <xdr:colOff>318825</xdr:colOff>
      <xdr:row>37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</xdr:row>
      <xdr:rowOff>0</xdr:rowOff>
    </xdr:from>
    <xdr:to>
      <xdr:col>19</xdr:col>
      <xdr:colOff>356925</xdr:colOff>
      <xdr:row>40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171449</xdr:colOff>
      <xdr:row>19</xdr:row>
      <xdr:rowOff>38099</xdr:rowOff>
    </xdr:from>
    <xdr:to>
      <xdr:col>15</xdr:col>
      <xdr:colOff>357149</xdr:colOff>
      <xdr:row>35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95249</xdr:colOff>
      <xdr:row>19</xdr:row>
      <xdr:rowOff>57149</xdr:rowOff>
    </xdr:from>
    <xdr:to>
      <xdr:col>1</xdr:col>
      <xdr:colOff>19050</xdr:colOff>
      <xdr:row>32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unción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3676649"/>
              <a:ext cx="2009776" cy="2495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176211</xdr:colOff>
      <xdr:row>16</xdr:row>
      <xdr:rowOff>128586</xdr:rowOff>
    </xdr:from>
    <xdr:to>
      <xdr:col>14</xdr:col>
      <xdr:colOff>314325</xdr:colOff>
      <xdr:row>32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A0BA14-5C12-47EA-820B-C2B040BBE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200025</xdr:colOff>
      <xdr:row>16</xdr:row>
      <xdr:rowOff>123825</xdr:rowOff>
    </xdr:from>
    <xdr:to>
      <xdr:col>1</xdr:col>
      <xdr:colOff>28575</xdr:colOff>
      <xdr:row>29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unción 5">
              <a:extLst>
                <a:ext uri="{FF2B5EF4-FFF2-40B4-BE49-F238E27FC236}">
                  <a16:creationId xmlns:a16="http://schemas.microsoft.com/office/drawing/2014/main" id="{9A5C90FE-9F8C-7E99-AD93-386FCB3A1F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31718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90486</xdr:colOff>
      <xdr:row>16</xdr:row>
      <xdr:rowOff>176211</xdr:rowOff>
    </xdr:from>
    <xdr:to>
      <xdr:col>14</xdr:col>
      <xdr:colOff>228600</xdr:colOff>
      <xdr:row>32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28574</xdr:colOff>
      <xdr:row>16</xdr:row>
      <xdr:rowOff>185737</xdr:rowOff>
    </xdr:from>
    <xdr:to>
      <xdr:col>0</xdr:col>
      <xdr:colOff>1971675</xdr:colOff>
      <xdr:row>30</xdr:row>
      <xdr:rowOff>42862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unción 1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" y="2852737"/>
              <a:ext cx="194310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161925</xdr:rowOff>
    </xdr:from>
    <xdr:to>
      <xdr:col>19</xdr:col>
      <xdr:colOff>328350</xdr:colOff>
      <xdr:row>39</xdr:row>
      <xdr:rowOff>37425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19</xdr:col>
      <xdr:colOff>328350</xdr:colOff>
      <xdr:row>38</xdr:row>
      <xdr:rowOff>66000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EC0B4B-108A-424D-9E3F-61AA48A43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19</xdr:col>
      <xdr:colOff>328350</xdr:colOff>
      <xdr:row>38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1190624</xdr:colOff>
      <xdr:row>15</xdr:row>
      <xdr:rowOff>180975</xdr:rowOff>
    </xdr:from>
    <xdr:to>
      <xdr:col>11</xdr:col>
      <xdr:colOff>0</xdr:colOff>
      <xdr:row>31</xdr:row>
      <xdr:rowOff>12975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180975</xdr:rowOff>
    </xdr:from>
    <xdr:to>
      <xdr:col>0</xdr:col>
      <xdr:colOff>1181100</xdr:colOff>
      <xdr:row>26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unción 2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38475"/>
              <a:ext cx="11811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14</xdr:row>
      <xdr:rowOff>100012</xdr:rowOff>
    </xdr:from>
    <xdr:to>
      <xdr:col>12</xdr:col>
      <xdr:colOff>317325</xdr:colOff>
      <xdr:row>29</xdr:row>
      <xdr:rowOff>122512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DCAA5E-D341-4985-AF2E-5E5FA8534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14</xdr:row>
      <xdr:rowOff>100012</xdr:rowOff>
    </xdr:from>
    <xdr:to>
      <xdr:col>0</xdr:col>
      <xdr:colOff>1171575</xdr:colOff>
      <xdr:row>24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unción 6">
              <a:extLst>
                <a:ext uri="{FF2B5EF4-FFF2-40B4-BE49-F238E27FC236}">
                  <a16:creationId xmlns:a16="http://schemas.microsoft.com/office/drawing/2014/main" id="{7942FD43-8025-47DC-AD79-2D8D8BF194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67012"/>
              <a:ext cx="1171575" cy="1976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14</xdr:row>
      <xdr:rowOff>100012</xdr:rowOff>
    </xdr:from>
    <xdr:to>
      <xdr:col>11</xdr:col>
      <xdr:colOff>317325</xdr:colOff>
      <xdr:row>29</xdr:row>
      <xdr:rowOff>122512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14</xdr:row>
      <xdr:rowOff>100012</xdr:rowOff>
    </xdr:from>
    <xdr:to>
      <xdr:col>0</xdr:col>
      <xdr:colOff>1171575</xdr:colOff>
      <xdr:row>24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unción 3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76512"/>
              <a:ext cx="1171575" cy="1976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19</xdr:row>
      <xdr:rowOff>4762</xdr:rowOff>
    </xdr:from>
    <xdr:to>
      <xdr:col>29</xdr:col>
      <xdr:colOff>295274</xdr:colOff>
      <xdr:row>33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219075</xdr:colOff>
      <xdr:row>19</xdr:row>
      <xdr:rowOff>9525</xdr:rowOff>
    </xdr:from>
    <xdr:to>
      <xdr:col>9</xdr:col>
      <xdr:colOff>190500</xdr:colOff>
      <xdr:row>32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unción 4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ón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0" y="40195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ongko.jgm.ar\JGM\Users\barrionuevoi\Desktop\Devengado%20vs%20Caj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gnacio Santiago Barrionuevo" refreshedDate="44743.616786574072" createdVersion="6" refreshedVersion="6" minRefreshableVersion="3" recordCount="15">
  <cacheSource type="worksheet">
    <worksheetSource ref="A3:AD18" sheet="Dev vs caja" r:id="rId2"/>
  </cacheSource>
  <cacheFields count="30">
    <cacheField name="Función" numFmtId="164">
      <sharedItems count="9">
        <s v="TOTAL"/>
        <s v="ENERGIA"/>
        <s v="TRANSPORTE"/>
        <s v="EDUCACION"/>
        <s v="VIVIENDA"/>
        <s v="AGUA"/>
        <s v="CIENCIA Y TÉCNICA"/>
        <s v="SALUD"/>
        <s v="OTROS Y FFS"/>
      </sharedItems>
    </cacheField>
    <cacheField name="Tipo" numFmtId="164">
      <sharedItems count="2">
        <s v="Base devengado"/>
        <s v="Base Caja"/>
      </sharedItems>
    </cacheField>
    <cacheField name="1995 " numFmtId="164">
      <sharedItems containsString="0" containsBlank="1" containsNumber="1" minValue="1.6208641871211924" maxValue="46.721697939961686"/>
    </cacheField>
    <cacheField name="1996 " numFmtId="164">
      <sharedItems containsString="0" containsBlank="1" containsNumber="1" minValue="0.43501648924949798" maxValue="36.983285670396263"/>
    </cacheField>
    <cacheField name="1997 " numFmtId="164">
      <sharedItems containsMixedTypes="1" containsNumber="1" minValue="2.2130939957267173" maxValue="42.242658884980415"/>
    </cacheField>
    <cacheField name="1998 " numFmtId="164">
      <sharedItems containsMixedTypes="1" containsNumber="1" minValue="4.811445725646375" maxValue="42.539565461576665"/>
    </cacheField>
    <cacheField name="1999 " numFmtId="164">
      <sharedItems containsMixedTypes="1" containsNumber="1" minValue="4.1059599341218034" maxValue="41.389576365108326"/>
    </cacheField>
    <cacheField name="2000 " numFmtId="164">
      <sharedItems containsMixedTypes="1" containsNumber="1" minValue="5.42473272397255" maxValue="44.707313764833025"/>
    </cacheField>
    <cacheField name="2001 " numFmtId="164">
      <sharedItems containsMixedTypes="1" containsNumber="1" minValue="5.1183670200914984" maxValue="45.658585534952479"/>
    </cacheField>
    <cacheField name="2002 " numFmtId="164">
      <sharedItems containsMixedTypes="1" containsNumber="1" minValue="0.22429534516430205" maxValue="19.258919509653943"/>
    </cacheField>
    <cacheField name="2003 " numFmtId="164">
      <sharedItems containsMixedTypes="1" containsNumber="1" minValue="2.0346921630149666" maxValue="22.058645930788661"/>
    </cacheField>
    <cacheField name="2004 " numFmtId="164">
      <sharedItems containsMixedTypes="1" containsNumber="1" minValue="3.061656750367618" maxValue="29.780703267851642"/>
    </cacheField>
    <cacheField name="2005 " numFmtId="164">
      <sharedItems containsMixedTypes="1" containsNumber="1" minValue="13.652751971719253" maxValue="63.316323950968759"/>
    </cacheField>
    <cacheField name="2006 " numFmtId="164">
      <sharedItems containsMixedTypes="1" containsNumber="1" minValue="17.091932596874766" maxValue="82.110038312012236"/>
    </cacheField>
    <cacheField name="2007 " numFmtId="164">
      <sharedItems containsMixedTypes="1" containsNumber="1" minValue="24.583554145481795" maxValue="106.17064426887066"/>
    </cacheField>
    <cacheField name="2008 " numFmtId="164">
      <sharedItems containsMixedTypes="1" containsNumber="1" minValue="24.58208173537329" maxValue="100.70238461257816"/>
    </cacheField>
    <cacheField name="2009 " numFmtId="164">
      <sharedItems containsMixedTypes="1" containsNumber="1" minValue="42.746359133640297" maxValue="117.90565116962544"/>
    </cacheField>
    <cacheField name="2010 " numFmtId="164">
      <sharedItems containsMixedTypes="1" containsNumber="1" minValue="38.359251201651993" maxValue="89.194864550358005"/>
    </cacheField>
    <cacheField name="2011 " numFmtId="164">
      <sharedItems containsMixedTypes="1" containsNumber="1" minValue="34.971273742032068" maxValue="103.09348881419362"/>
    </cacheField>
    <cacheField name="2012 " numFmtId="164">
      <sharedItems containsMixedTypes="1" containsNumber="1" minValue="31.297399140537543" maxValue="96.63251231094452"/>
    </cacheField>
    <cacheField name="2013 " numFmtId="164">
      <sharedItems containsMixedTypes="1" containsNumber="1" minValue="54.765114754917271" maxValue="108.29153407087296"/>
    </cacheField>
    <cacheField name="2014 " numFmtId="164">
      <sharedItems containsMixedTypes="1" containsNumber="1" minValue="56.815678947364461" maxValue="112.5196968604791"/>
    </cacheField>
    <cacheField name="2015 " numFmtId="164">
      <sharedItems containsMixedTypes="1" containsNumber="1" containsInteger="1" minValue="100" maxValue="100"/>
    </cacheField>
    <cacheField name="2016 " numFmtId="164">
      <sharedItems containsSemiMixedTypes="0" containsString="0" containsNumber="1" minValue="31.640017477125337" maxValue="100"/>
    </cacheField>
    <cacheField name="2017 " numFmtId="164">
      <sharedItems containsSemiMixedTypes="0" containsString="0" containsNumber="1" minValue="38.298376459485766" maxValue="182.85326388270531"/>
    </cacheField>
    <cacheField name="2018 " numFmtId="164">
      <sharedItems containsSemiMixedTypes="0" containsString="0" containsNumber="1" minValue="23.056343317913274" maxValue="195.61289156808735"/>
    </cacheField>
    <cacheField name="2019 " numFmtId="164">
      <sharedItems containsSemiMixedTypes="0" containsString="0" containsNumber="1" minValue="6.3332778013778253" maxValue="99.533193724240363"/>
    </cacheField>
    <cacheField name="2020 " numFmtId="164">
      <sharedItems containsSemiMixedTypes="0" containsString="0" containsNumber="1" minValue="11.064219323938994" maxValue="316.74293532551133"/>
    </cacheField>
    <cacheField name="2021 " numFmtId="164">
      <sharedItems containsSemiMixedTypes="0" containsString="0" containsNumber="1" minValue="20.097398845681354" maxValue="325.88735564277641"/>
    </cacheField>
    <cacheField name="2022 " numFmtId="164">
      <sharedItems containsSemiMixedTypes="0" containsString="0" containsNumber="1" minValue="13.990827201184477" maxValue="189.5011163176859"/>
    </cacheField>
  </cacheFields>
  <extLst>
    <ext xmlns:x14="http://schemas.microsoft.com/office/spreadsheetml/2009/9/main" uri="{725AE2AE-9491-48be-B2B4-4EB974FC3084}">
      <x14:pivotCacheDefinition pivotCacheId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utaro Valentin Gomez" refreshedDate="46073.538489120372" createdVersion="6" refreshedVersion="6" minRefreshableVersion="3" recordCount="9">
  <cacheSource type="worksheet">
    <worksheetSource ref="A6:AG15" sheet="serie 4"/>
  </cacheSource>
  <cacheFields count="33">
    <cacheField name="Función" numFmtId="0">
      <sharedItems count="9">
        <s v="TRANSPORTE"/>
        <s v="ENERGÍA, COMBUSTIBLES Y MINERÍA"/>
        <s v="AGUA POTABLE Y ALCANTARILLADO"/>
        <s v="VIVIENDA Y URBANISMO"/>
        <s v="CIENCIA Y TÉCNICA"/>
        <s v="EDUCACIÓN Y CULTURA"/>
        <s v="SALUD"/>
        <s v="DEFENSA"/>
        <s v="RESTO"/>
      </sharedItems>
    </cacheField>
    <cacheField name="1995" numFmtId="2">
      <sharedItems containsSemiMixedTypes="0" containsString="0" containsNumber="1" minValue="6.9716094084339725E-3" maxValue="0.38024673438620316"/>
    </cacheField>
    <cacheField name="1996" numFmtId="2">
      <sharedItems containsSemiMixedTypes="0" containsString="0" containsNumber="1" minValue="1.1747226982673069E-2" maxValue="0.39904048393061231"/>
    </cacheField>
    <cacheField name="1997" numFmtId="2">
      <sharedItems containsSemiMixedTypes="0" containsString="0" containsNumber="1" minValue="2.0684426212379148E-2" maxValue="0.4166912904058091"/>
    </cacheField>
    <cacheField name="1998" numFmtId="2">
      <sharedItems containsSemiMixedTypes="0" containsString="0" containsNumber="1" minValue="1.8335941187300711E-2" maxValue="0.43732322267297263"/>
    </cacheField>
    <cacheField name="1999" numFmtId="2">
      <sharedItems containsSemiMixedTypes="0" containsString="0" containsNumber="1" minValue="1.1142548721440678E-2" maxValue="0.39241445113698348"/>
    </cacheField>
    <cacheField name="2000" numFmtId="2">
      <sharedItems containsSemiMixedTypes="0" containsString="0" containsNumber="1" minValue="8.0481272730612216E-3" maxValue="0.34907406094304033"/>
    </cacheField>
    <cacheField name="2001" numFmtId="2">
      <sharedItems containsSemiMixedTypes="0" containsString="0" containsNumber="1" minValue="3.1591069499883346E-3" maxValue="0.27976570835571452"/>
    </cacheField>
    <cacheField name="2002" numFmtId="2">
      <sharedItems containsSemiMixedTypes="0" containsString="0" containsNumber="1" minValue="3.2391991282619556E-3" maxValue="0.22962305742456957"/>
    </cacheField>
    <cacheField name="2003" numFmtId="2">
      <sharedItems containsSemiMixedTypes="0" containsString="0" containsNumber="1" minValue="1.0308290711356589E-2" maxValue="0.25478329354448637"/>
    </cacheField>
    <cacheField name="2004" numFmtId="2">
      <sharedItems containsSemiMixedTypes="0" containsString="0" containsNumber="1" minValue="1.0034177446785315E-2" maxValue="0.37472156822286384"/>
    </cacheField>
    <cacheField name="2005" numFmtId="2">
      <sharedItems containsSemiMixedTypes="0" containsString="0" containsNumber="1" minValue="1.8736271815401252E-2" maxValue="0.54752763884426836"/>
    </cacheField>
    <cacheField name="2006" numFmtId="2">
      <sharedItems containsSemiMixedTypes="0" containsString="0" containsNumber="1" minValue="1.3383769737530091E-2" maxValue="0.73543386286670576"/>
    </cacheField>
    <cacheField name="2007" numFmtId="2">
      <sharedItems containsSemiMixedTypes="0" containsString="0" containsNumber="1" minValue="1.7356683062820965E-2" maxValue="0.74098485126464009"/>
    </cacheField>
    <cacheField name="2008" numFmtId="2">
      <sharedItems containsSemiMixedTypes="0" containsString="0" containsNumber="1" minValue="2.1552482657007262E-2" maxValue="0.74568933599625387"/>
    </cacheField>
    <cacheField name="2009" numFmtId="2">
      <sharedItems containsSemiMixedTypes="0" containsString="0" containsNumber="1" minValue="2.2100856323177664E-2" maxValue="0.78553233038955161"/>
    </cacheField>
    <cacheField name="2010" numFmtId="2">
      <sharedItems containsSemiMixedTypes="0" containsString="0" containsNumber="1" minValue="2.5039356468564831E-2" maxValue="0.77617834001749486"/>
    </cacheField>
    <cacheField name="2011" numFmtId="2">
      <sharedItems containsSemiMixedTypes="0" containsString="0" containsNumber="1" minValue="1.6159706887742865E-2" maxValue="0.76066815369879714"/>
    </cacheField>
    <cacheField name="2012" numFmtId="2">
      <sharedItems containsSemiMixedTypes="0" containsString="0" containsNumber="1" minValue="1.37710066140233E-2" maxValue="0.68149426981100725"/>
    </cacheField>
    <cacheField name="2013" numFmtId="2">
      <sharedItems containsSemiMixedTypes="0" containsString="0" containsNumber="1" minValue="2.7664018553153872E-2" maxValue="0.89055051581455791"/>
    </cacheField>
    <cacheField name="2014" numFmtId="2">
      <sharedItems containsSemiMixedTypes="0" containsString="0" containsNumber="1" minValue="3.190603190764528E-2" maxValue="1.190955441019131"/>
    </cacheField>
    <cacheField name="2015" numFmtId="2">
      <sharedItems containsSemiMixedTypes="0" containsString="0" containsNumber="1" minValue="2.3007189545846178E-2" maxValue="0.61656332151108229"/>
    </cacheField>
    <cacheField name="2016" numFmtId="2">
      <sharedItems containsSemiMixedTypes="0" containsString="0" containsNumber="1" minValue="2.005084864159435E-2" maxValue="0.56119946678024246"/>
    </cacheField>
    <cacheField name="2017" numFmtId="2">
      <sharedItems containsSemiMixedTypes="0" containsString="0" containsNumber="1" minValue="1.1782704964736025E-2" maxValue="0.68727651123857503"/>
    </cacheField>
    <cacheField name="2018" numFmtId="2">
      <sharedItems containsSemiMixedTypes="0" containsString="0" containsNumber="1" minValue="1.2045127895662717E-2" maxValue="0.64714496932316079"/>
    </cacheField>
    <cacheField name="2019" numFmtId="2">
      <sharedItems containsSemiMixedTypes="0" containsString="0" containsNumber="1" minValue="3.4383789040151403E-3" maxValue="0.4309802652912002"/>
    </cacheField>
    <cacheField name="2020" numFmtId="2">
      <sharedItems containsSemiMixedTypes="0" containsString="0" containsNumber="1" minValue="1.3432712191647427E-2" maxValue="0.30363248580840091"/>
    </cacheField>
    <cacheField name="2021" numFmtId="2">
      <sharedItems containsSemiMixedTypes="0" containsString="0" containsNumber="1" minValue="3.3596960183791269E-2" maxValue="0.6830883992354283"/>
    </cacheField>
    <cacheField name="2022" numFmtId="2">
      <sharedItems containsSemiMixedTypes="0" containsString="0" containsNumber="1" minValue="2.4266507453787483E-2" maxValue="0.36208960340731794"/>
    </cacheField>
    <cacheField name="2023" numFmtId="2">
      <sharedItems containsSemiMixedTypes="0" containsString="0" containsNumber="1" minValue="1.60494166733594E-2" maxValue="0.31988121792916202"/>
    </cacheField>
    <cacheField name="2024" numFmtId="2">
      <sharedItems containsSemiMixedTypes="0" containsString="0" containsNumber="1" minValue="8.5055499155878515E-3" maxValue="0.12380735103291213"/>
    </cacheField>
    <cacheField name="2025*" numFmtId="164">
      <sharedItems containsSemiMixedTypes="0" containsString="0" containsNumber="1" minValue="2.2921597048818011E-3" maxValue="7.9688951575499406E-2"/>
    </cacheField>
    <cacheField name="2026**" numFmtId="164">
      <sharedItems containsSemiMixedTypes="0" containsString="0" containsNumber="1" minValue="6.2783579923858654E-4" maxValue="0.10868783030873524"/>
    </cacheField>
  </cacheFields>
  <extLst>
    <ext xmlns:x14="http://schemas.microsoft.com/office/spreadsheetml/2009/9/main" uri="{725AE2AE-9491-48be-B2B4-4EB974FC3084}">
      <x14:pivotCacheDefinition pivotCacheId="198642595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autaro Valentin Gomez" refreshedDate="46073.553070833332" createdVersion="6" refreshedVersion="6" minRefreshableVersion="3" recordCount="8">
  <cacheSource type="worksheet">
    <worksheetSource ref="A6:AG14" sheet="serie 5"/>
  </cacheSource>
  <cacheFields count="33">
    <cacheField name="Función" numFmtId="0">
      <sharedItems count="8">
        <s v="TRANSPORTE"/>
        <s v="ENERGÍA, COMBUSTIBLES Y MINERÍA"/>
        <s v="AGUA POTABLE Y ALCANTARILLADO"/>
        <s v="VIVIENDA Y URBANISMO"/>
        <s v="CIENCIA Y TÉCNICA"/>
        <s v="EDUCACIÓN Y CULTURA"/>
        <s v="SALUD"/>
        <s v="DEFENSA"/>
      </sharedItems>
    </cacheField>
    <cacheField name="1995" numFmtId="167">
      <sharedItems containsSemiMixedTypes="0" containsString="0" containsNumber="1" minValue="0" maxValue="639.50511246283975"/>
    </cacheField>
    <cacheField name="1996" numFmtId="167">
      <sharedItems containsSemiMixedTypes="0" containsString="0" containsNumber="1" minValue="0" maxValue="36729.144314777259"/>
    </cacheField>
    <cacheField name="1997" numFmtId="167">
      <sharedItems containsSemiMixedTypes="0" containsString="0" containsNumber="1" minValue="0" maxValue="2195.4790790782395"/>
    </cacheField>
    <cacheField name="1998" numFmtId="167">
      <sharedItems containsSemiMixedTypes="0" containsString="0" containsNumber="1" minValue="4.9800000720345024E-2" maxValue="673.47161728796141"/>
    </cacheField>
    <cacheField name="1999" numFmtId="167">
      <sharedItems containsSemiMixedTypes="0" containsString="0" containsNumber="1" minValue="0" maxValue="17996.117160741738"/>
    </cacheField>
    <cacheField name="2000" numFmtId="167">
      <sharedItems containsSemiMixedTypes="0" containsString="0" containsNumber="1" minValue="0" maxValue="29092.855992846253"/>
    </cacheField>
    <cacheField name="2001" numFmtId="167">
      <sharedItems containsSemiMixedTypes="0" containsString="0" containsNumber="1" minValue="0" maxValue="8531.1985795906421"/>
    </cacheField>
    <cacheField name="2002" numFmtId="167">
      <sharedItems containsSemiMixedTypes="0" containsString="0" containsNumber="1" minValue="0" maxValue="0.66820235887848134"/>
    </cacheField>
    <cacheField name="2003" numFmtId="167">
      <sharedItems containsSemiMixedTypes="0" containsString="0" containsNumber="1" minValue="0" maxValue="135.35255151684169"/>
    </cacheField>
    <cacheField name="2004" numFmtId="167">
      <sharedItems containsSemiMixedTypes="0" containsString="0" containsNumber="1" minValue="7.8610685464326355E-2" maxValue="73.633852967803023"/>
    </cacheField>
    <cacheField name="2005" numFmtId="167">
      <sharedItems containsSemiMixedTypes="0" containsString="0" containsNumber="1" minValue="0.11878327744968022" maxValue="5107.4093414036643"/>
    </cacheField>
    <cacheField name="2006" numFmtId="167">
      <sharedItems containsSemiMixedTypes="0" containsString="0" containsNumber="1" minValue="0.18150239473528665" maxValue="29384.343820923488"/>
    </cacheField>
    <cacheField name="2007" numFmtId="167">
      <sharedItems containsSemiMixedTypes="0" containsString="0" containsNumber="1" minValue="0" maxValue="239.81696459827847"/>
    </cacheField>
    <cacheField name="2008" numFmtId="167">
      <sharedItems containsSemiMixedTypes="0" containsString="0" containsNumber="1" minValue="2.6989525988257346" maxValue="336.7488984063371"/>
    </cacheField>
    <cacheField name="2009" numFmtId="167">
      <sharedItems containsSemiMixedTypes="0" containsString="0" containsNumber="1" minValue="4.1996045453180386" maxValue="21723.20384179016"/>
    </cacheField>
    <cacheField name="2010" numFmtId="167">
      <sharedItems containsSemiMixedTypes="0" containsString="0" containsNumber="1" minValue="6.4559968902395907E-3" maxValue="50305.126215934943"/>
    </cacheField>
    <cacheField name="2011" numFmtId="167">
      <sharedItems containsSemiMixedTypes="0" containsString="0" containsNumber="1" minValue="7.3408273619775386" maxValue="3761.8883579636704"/>
    </cacheField>
    <cacheField name="2012" numFmtId="167">
      <sharedItems containsSemiMixedTypes="0" containsString="0" containsNumber="1" minValue="4.5749997702700576" maxValue="150.72185868480963"/>
    </cacheField>
    <cacheField name="2013" numFmtId="167">
      <sharedItems containsSemiMixedTypes="0" containsString="0" containsNumber="1" minValue="0.54052898484455869" maxValue="2674.3714446843524"/>
    </cacheField>
    <cacheField name="2014" numFmtId="167">
      <sharedItems containsSemiMixedTypes="0" containsString="0" containsNumber="1" minValue="17.102030525197037" maxValue="9719.7624170805393"/>
    </cacheField>
    <cacheField name="2015" numFmtId="167">
      <sharedItems containsSemiMixedTypes="0" containsString="0" containsNumber="1" containsInteger="1" minValue="100" maxValue="100"/>
    </cacheField>
    <cacheField name="2016" numFmtId="167">
      <sharedItems containsSemiMixedTypes="0" containsString="0" containsNumber="1" minValue="0" maxValue="28.195900519066704"/>
    </cacheField>
    <cacheField name="2017" numFmtId="167">
      <sharedItems containsSemiMixedTypes="0" containsString="0" containsNumber="1" minValue="4.7233658629349765E-2" maxValue="44084.374924503994"/>
    </cacheField>
    <cacheField name="2018" numFmtId="167">
      <sharedItems containsSemiMixedTypes="0" containsString="0" containsNumber="1" minValue="0.79786388615786641" maxValue="849.18983705469088"/>
    </cacheField>
    <cacheField name="2019" numFmtId="167">
      <sharedItems containsSemiMixedTypes="0" containsString="0" containsNumber="1" minValue="0" maxValue="383.59007049837248"/>
    </cacheField>
    <cacheField name="2020" numFmtId="167">
      <sharedItems containsSemiMixedTypes="0" containsString="0" containsNumber="1" minValue="0" maxValue="235.85958544523351"/>
    </cacheField>
    <cacheField name="2021" numFmtId="167">
      <sharedItems containsSemiMixedTypes="0" containsString="0" containsNumber="1" minValue="0" maxValue="382.6568241353994"/>
    </cacheField>
    <cacheField name="2022" numFmtId="167">
      <sharedItems containsSemiMixedTypes="0" containsString="0" containsNumber="1" minValue="0" maxValue="682.89809945114985"/>
    </cacheField>
    <cacheField name="2023" numFmtId="167">
      <sharedItems containsSemiMixedTypes="0" containsString="0" containsNumber="1" minValue="0" maxValue="1117.7682358077418"/>
    </cacheField>
    <cacheField name="2024" numFmtId="167">
      <sharedItems containsSemiMixedTypes="0" containsString="0" containsNumber="1" minValue="0" maxValue="103.99003702198286"/>
    </cacheField>
    <cacheField name="2025" numFmtId="167">
      <sharedItems containsSemiMixedTypes="0" containsString="0" containsNumber="1" minValue="0" maxValue="28.436415598539277"/>
    </cacheField>
    <cacheField name="2026" numFmtId="167">
      <sharedItems containsSemiMixedTypes="0" containsString="0" containsNumber="1" minValue="0" maxValue="744.56983677841481"/>
    </cacheField>
  </cacheFields>
  <extLst>
    <ext xmlns:x14="http://schemas.microsoft.com/office/spreadsheetml/2009/9/main" uri="{725AE2AE-9491-48be-B2B4-4EB974FC3084}">
      <x14:pivotCacheDefinition pivotCacheId="1986425960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autaro Valentin Gomez" refreshedDate="46073.591013657409" createdVersion="6" refreshedVersion="6" minRefreshableVersion="3" recordCount="8">
  <cacheSource type="worksheet">
    <worksheetSource ref="A6:AF14" sheet="serie 6"/>
  </cacheSource>
  <cacheFields count="32">
    <cacheField name="Función" numFmtId="0">
      <sharedItems count="8">
        <s v="TRANSPORTE"/>
        <s v="ENERGÍA, COMBUSTIBLES Y MINERÍA"/>
        <s v="AGUA POTABLE Y ALCANTARILLADO"/>
        <s v="VIVIENDA Y URBANISMO"/>
        <s v="CIENCIA Y TÉCNICA"/>
        <s v="EDUCACIÓN Y CULTURA"/>
        <s v="SALUD"/>
        <s v="DEFENSA"/>
      </sharedItems>
    </cacheField>
    <cacheField name="1995" numFmtId="164">
      <sharedItems containsSemiMixedTypes="0" containsString="0" containsNumber="1" minValue="1.7441526285865505" maxValue="60.380534829697389"/>
    </cacheField>
    <cacheField name="1996" numFmtId="164">
      <sharedItems containsSemiMixedTypes="0" containsString="0" containsNumber="1" minValue="4.0180981170425429" maxValue="185.2729700428979"/>
    </cacheField>
    <cacheField name="1997" numFmtId="164">
      <sharedItems containsSemiMixedTypes="0" containsString="0" containsNumber="1" minValue="5.2934720311191308" maxValue="65.972182119393878"/>
    </cacheField>
    <cacheField name="1998" numFmtId="164">
      <sharedItems containsSemiMixedTypes="0" containsString="0" containsNumber="1" minValue="3.2542895838243715" maxValue="59.514280389800064"/>
    </cacheField>
    <cacheField name="1999" numFmtId="164">
      <sharedItems containsSemiMixedTypes="0" containsString="0" containsNumber="1" minValue="3.0298785591172033" maxValue="134.84677747979137"/>
    </cacheField>
    <cacheField name="2000" numFmtId="164">
      <sharedItems containsSemiMixedTypes="0" containsString="0" containsNumber="1" minValue="3.737703072153777" maxValue="49.305938231726046"/>
    </cacheField>
    <cacheField name="2001" numFmtId="164">
      <sharedItems containsSemiMixedTypes="0" containsString="0" containsNumber="1" minValue="3.2146359558391508" maxValue="37.819331691168436"/>
    </cacheField>
    <cacheField name="2002" numFmtId="164">
      <sharedItems containsSemiMixedTypes="0" containsString="0" containsNumber="1" minValue="2.9030292698421136" maxValue="22.770858002620898"/>
    </cacheField>
    <cacheField name="2003" numFmtId="164">
      <sharedItems containsSemiMixedTypes="0" containsString="0" containsNumber="1" minValue="3.0632085065927108" maxValue="36.689854983229218"/>
    </cacheField>
    <cacheField name="2004" numFmtId="164">
      <sharedItems containsSemiMixedTypes="0" containsString="0" containsNumber="1" minValue="3.5450950435200745" maxValue="79.081551793588545"/>
    </cacheField>
    <cacheField name="2005" numFmtId="164">
      <sharedItems containsSemiMixedTypes="0" containsString="0" containsNumber="1" minValue="16.78315327876" maxValue="100.96288421174731"/>
    </cacheField>
    <cacheField name="2006" numFmtId="164">
      <sharedItems containsSemiMixedTypes="0" containsString="0" containsNumber="1" minValue="22.227895788212763" maxValue="122.38985257391541"/>
    </cacheField>
    <cacheField name="2007" numFmtId="164">
      <sharedItems containsSemiMixedTypes="0" containsString="0" containsNumber="1" minValue="26.273380292987447" maxValue="110.29279008305537"/>
    </cacheField>
    <cacheField name="2008" numFmtId="164">
      <sharedItems containsSemiMixedTypes="0" containsString="0" containsNumber="1" minValue="29.1250886960641" maxValue="116.36944688952362"/>
    </cacheField>
    <cacheField name="2009" numFmtId="164">
      <sharedItems containsSemiMixedTypes="0" containsString="0" containsNumber="1" minValue="39.57548150384406" maxValue="133.62864986354271"/>
    </cacheField>
    <cacheField name="2010" numFmtId="164">
      <sharedItems containsSemiMixedTypes="0" containsString="0" containsNumber="1" minValue="42.340194442341442" maxValue="122.56059895581465"/>
    </cacheField>
    <cacheField name="2011" numFmtId="164">
      <sharedItems containsSemiMixedTypes="0" containsString="0" containsNumber="1" minValue="46.202759293054761" maxValue="128.22150316164502"/>
    </cacheField>
    <cacheField name="2012" numFmtId="164">
      <sharedItems containsSemiMixedTypes="0" containsString="0" containsNumber="1" minValue="44.016016877874883" maxValue="106.26839998838295"/>
    </cacheField>
    <cacheField name="2013" numFmtId="164">
      <sharedItems containsSemiMixedTypes="0" containsString="0" containsNumber="1" minValue="67.9695689467911" maxValue="162.83906871927141"/>
    </cacheField>
    <cacheField name="2014" numFmtId="164">
      <sharedItems containsSemiMixedTypes="0" containsString="0" containsNumber="1" minValue="85.790221088232371" maxValue="182.27235253980609"/>
    </cacheField>
    <cacheField name="2015" numFmtId="164">
      <sharedItems containsSemiMixedTypes="0" containsString="0" containsNumber="1" containsInteger="1" minValue="100" maxValue="100"/>
    </cacheField>
    <cacheField name="2016" numFmtId="164">
      <sharedItems containsSemiMixedTypes="0" containsString="0" containsNumber="1" minValue="48.019401933583737" maxValue="96.614697893154997"/>
    </cacheField>
    <cacheField name="2017" numFmtId="164">
      <sharedItems containsSemiMixedTypes="0" containsString="0" containsNumber="1" minValue="39.677617579138278" maxValue="122.9614176005479"/>
    </cacheField>
    <cacheField name="2018" numFmtId="164">
      <sharedItems containsSemiMixedTypes="0" containsString="0" containsNumber="1" minValue="26.179018383495258" maxValue="118.46043032377"/>
    </cacheField>
    <cacheField name="2019" numFmtId="164">
      <sharedItems containsSemiMixedTypes="0" containsString="0" containsNumber="1" minValue="8.1244952474979915" maxValue="74.503779413933003"/>
    </cacheField>
    <cacheField name="2020" numFmtId="164">
      <sharedItems containsSemiMixedTypes="0" containsString="0" containsNumber="1" minValue="14.061697197516402" maxValue="260.07715522599375"/>
    </cacheField>
    <cacheField name="2021" numFmtId="164">
      <sharedItems containsSemiMixedTypes="0" containsString="0" containsNumber="1" minValue="49.038902593274727" maxValue="237.50640035382528"/>
    </cacheField>
    <cacheField name="2022" numFmtId="164">
      <sharedItems containsSemiMixedTypes="0" containsString="0" containsNumber="1" minValue="22.732649964824652" maxValue="143.81906555617599"/>
    </cacheField>
    <cacheField name="2023" numFmtId="164">
      <sharedItems containsSemiMixedTypes="0" containsString="0" containsNumber="1" minValue="39.686033854315497" maxValue="90.990182730219146"/>
    </cacheField>
    <cacheField name="2024" numFmtId="164">
      <sharedItems containsSemiMixedTypes="0" containsString="0" containsNumber="1" minValue="6.0642605484653984" maxValue="52.690005417739513"/>
    </cacheField>
    <cacheField name="2025" numFmtId="164">
      <sharedItems containsSemiMixedTypes="0" containsString="0" containsNumber="1" minValue="0.64752822893851225" maxValue="23.223943020419384"/>
    </cacheField>
  </cacheFields>
  <extLst>
    <ext xmlns:x14="http://schemas.microsoft.com/office/spreadsheetml/2009/9/main" uri="{725AE2AE-9491-48be-B2B4-4EB974FC3084}">
      <x14:pivotCacheDefinition pivotCacheId="198642596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autaro Valentin Gomez" refreshedDate="46076.424803587965" createdVersion="6" refreshedVersion="6" minRefreshableVersion="3" recordCount="6">
  <cacheSource type="worksheet">
    <worksheetSource ref="A6:K12" sheet="serie 10"/>
  </cacheSource>
  <cacheFields count="11">
    <cacheField name="Función" numFmtId="0">
      <sharedItems count="6">
        <s v="ENERGIA"/>
        <s v="TRANSPORTE"/>
        <s v="EDUCACION"/>
        <s v="VIVIENDA"/>
        <s v="AGUA"/>
        <s v="OTROS Y FFS"/>
      </sharedItems>
    </cacheField>
    <cacheField name="2016" numFmtId="2">
      <sharedItems containsSemiMixedTypes="0" containsString="0" containsNumber="1" minValue="8.9922903769194082E-2" maxValue="0.72401367025844032"/>
    </cacheField>
    <cacheField name="2017" numFmtId="2">
      <sharedItems containsSemiMixedTypes="0" containsString="0" containsNumber="1" minValue="0.1034527543698599" maxValue="0.61697176596196224"/>
    </cacheField>
    <cacheField name="2018" numFmtId="2">
      <sharedItems containsSemiMixedTypes="0" containsString="0" containsNumber="1" minValue="0.112359530160289" maxValue="0.42248558739413755"/>
    </cacheField>
    <cacheField name="2019" numFmtId="2">
      <sharedItems containsSemiMixedTypes="0" containsString="0" containsNumber="1" minValue="4.9056415791452895E-2" maxValue="0.44992950014714639"/>
    </cacheField>
    <cacheField name="2020" numFmtId="2">
      <sharedItems containsSemiMixedTypes="0" containsString="0" containsNumber="1" minValue="3.165585753228993E-2" maxValue="0.33527351388581561"/>
    </cacheField>
    <cacheField name="2021" numFmtId="2">
      <sharedItems containsSemiMixedTypes="0" containsString="0" containsNumber="1" minValue="9.750128426919949E-2" maxValue="0.48209458751021311"/>
    </cacheField>
    <cacheField name="2022" numFmtId="2">
      <sharedItems containsSemiMixedTypes="0" containsString="0" containsNumber="1" minValue="0.10114968482957754" maxValue="0.42044265043507711"/>
    </cacheField>
    <cacheField name="2023" numFmtId="2">
      <sharedItems containsSemiMixedTypes="0" containsString="0" containsNumber="1" minValue="0.10715190336807159" maxValue="0.46764871528033514"/>
    </cacheField>
    <cacheField name="2024" numFmtId="2">
      <sharedItems containsSemiMixedTypes="0" containsString="0" containsNumber="1" minValue="1.4488509481033555E-2" maxValue="0.14853511177098291"/>
    </cacheField>
    <cacheField name="2025*" numFmtId="2">
      <sharedItems containsSemiMixedTypes="0" containsString="0" containsNumber="1" minValue="6.8958583591588792E-3" maxValue="0.12256424493922986"/>
    </cacheField>
  </cacheFields>
  <extLst>
    <ext xmlns:x14="http://schemas.microsoft.com/office/spreadsheetml/2009/9/main" uri="{725AE2AE-9491-48be-B2B4-4EB974FC3084}">
      <x14:pivotCacheDefinition pivotCacheId="1986425962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autaro Valentin Gomez" refreshedDate="46076.434490624997" createdVersion="6" refreshedVersion="6" minRefreshableVersion="3" recordCount="6">
  <cacheSource type="worksheet">
    <worksheetSource ref="A6:L12" sheet="serie 11"/>
  </cacheSource>
  <cacheFields count="12">
    <cacheField name="Función" numFmtId="0">
      <sharedItems count="6">
        <s v="ENERGIA"/>
        <s v="TRANSPORTE"/>
        <s v="EDUCACION"/>
        <s v="VIVIENDA"/>
        <s v="AGUA"/>
        <s v="OTROS Y FFS"/>
      </sharedItems>
    </cacheField>
    <cacheField name="2016" numFmtId="164">
      <sharedItems containsSemiMixedTypes="0" containsString="0" containsNumber="1" minValue="61.775318358480412" maxValue="754.20159064716881"/>
    </cacheField>
    <cacheField name="2017" numFmtId="164">
      <sharedItems containsSemiMixedTypes="0" containsString="0" containsNumber="1" minValue="80.872799929558226" maxValue="389.17961636143679"/>
    </cacheField>
    <cacheField name="2018" numFmtId="164">
      <sharedItems containsSemiMixedTypes="0" containsString="0" containsNumber="1" minValue="26.688548366115992" maxValue="159.53275299656406"/>
    </cacheField>
    <cacheField name="2019" numFmtId="164">
      <sharedItems containsSemiMixedTypes="0" containsString="0" containsNumber="1" containsInteger="1" minValue="100" maxValue="100"/>
    </cacheField>
    <cacheField name="2020" numFmtId="164">
      <sharedItems containsSemiMixedTypes="0" containsString="0" containsNumber="1" minValue="15.303484487672947" maxValue="92.181451554229227"/>
    </cacheField>
    <cacheField name="2021" numFmtId="164">
      <sharedItems containsSemiMixedTypes="0" containsString="0" containsNumber="1" minValue="20.711746355098597" maxValue="280.62580371652012"/>
    </cacheField>
    <cacheField name="2022" numFmtId="164">
      <sharedItems containsSemiMixedTypes="0" containsString="0" containsNumber="1" minValue="41.051779934433306" maxValue="245.9700599289221"/>
    </cacheField>
    <cacheField name="2023" numFmtId="164">
      <sharedItems containsSemiMixedTypes="0" containsString="0" containsNumber="1" minValue="40.630761781375078" maxValue="382.54729735582737"/>
    </cacheField>
    <cacheField name="2024" numFmtId="164">
      <sharedItems containsSemiMixedTypes="0" containsString="0" containsNumber="1" minValue="3.8658840681276763" maxValue="56.29661934002889"/>
    </cacheField>
    <cacheField name="2025" numFmtId="164">
      <sharedItems containsSemiMixedTypes="0" containsString="0" containsNumber="1" minValue="2.2675198306090607" maxValue="51.987763904252454"/>
    </cacheField>
    <cacheField name="2026" numFmtId="164">
      <sharedItems containsSemiMixedTypes="0" containsString="0" containsNumber="1" minValue="1.3952020941601659" maxValue="56.761479097675711"/>
    </cacheField>
  </cacheFields>
  <extLst>
    <ext xmlns:x14="http://schemas.microsoft.com/office/spreadsheetml/2009/9/main" uri="{725AE2AE-9491-48be-B2B4-4EB974FC3084}">
      <x14:pivotCacheDefinition pivotCacheId="1986425963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autaro Valentin Gomez" refreshedDate="46076.441019791666" createdVersion="6" refreshedVersion="6" minRefreshableVersion="3" recordCount="6">
  <cacheSource type="worksheet">
    <worksheetSource ref="A6:K12" sheet="serie 12"/>
  </cacheSource>
  <cacheFields count="11">
    <cacheField name="Función" numFmtId="0">
      <sharedItems count="6">
        <s v="ENERGIA"/>
        <s v="TRANSPORTE"/>
        <s v="EDUCACION"/>
        <s v="VIVIENDA"/>
        <s v="AGUA"/>
        <s v="OTROS Y FFS"/>
      </sharedItems>
    </cacheField>
    <cacheField name="2016" numFmtId="164">
      <sharedItems containsSemiMixedTypes="0" containsString="0" containsNumber="1" minValue="107.74646753958997" maxValue="298.36892211108176"/>
    </cacheField>
    <cacheField name="2017" numFmtId="164">
      <sharedItems containsSemiMixedTypes="0" containsString="0" containsNumber="1" minValue="121.07873951862847" maxValue="270.49452137176468"/>
    </cacheField>
    <cacheField name="2018" numFmtId="164">
      <sharedItems containsSemiMixedTypes="0" containsString="0" containsNumber="1" minValue="95.774000160618812" maxValue="232.10526783710731"/>
    </cacheField>
    <cacheField name="2019" numFmtId="164">
      <sharedItems containsSemiMixedTypes="0" containsString="0" containsNumber="1" containsInteger="1" minValue="100" maxValue="100"/>
    </cacheField>
    <cacheField name="2020" numFmtId="164">
      <sharedItems containsSemiMixedTypes="0" containsString="0" containsNumber="1" minValue="38.654665405159889" maxValue="167.30178311294057"/>
    </cacheField>
    <cacheField name="2021" numFmtId="164">
      <sharedItems containsSemiMixedTypes="0" containsString="0" containsNumber="1" minValue="99.345302452238073" maxValue="190.34764916465107"/>
    </cacheField>
    <cacheField name="2022" numFmtId="164">
      <sharedItems containsSemiMixedTypes="0" containsString="0" containsNumber="1" minValue="93.443512208156434" maxValue="215.02858647164223"/>
    </cacheField>
    <cacheField name="2023" numFmtId="164">
      <sharedItems containsSemiMixedTypes="0" containsString="0" containsNumber="1" minValue="74.629907829412886" maxValue="257.65887349994534"/>
    </cacheField>
    <cacheField name="2024" numFmtId="164">
      <sharedItems containsSemiMixedTypes="0" containsString="0" containsNumber="1" minValue="14.563251621623376" maxValue="112.65332578543759"/>
    </cacheField>
    <cacheField name="2025" numFmtId="164">
      <sharedItems containsSemiMixedTypes="0" containsString="0" containsNumber="1" minValue="6.512432122626449" maxValue="58.531416153628257"/>
    </cacheField>
  </cacheFields>
  <extLst>
    <ext xmlns:x14="http://schemas.microsoft.com/office/spreadsheetml/2009/9/main" uri="{725AE2AE-9491-48be-B2B4-4EB974FC3084}">
      <x14:pivotCacheDefinition pivotCacheId="1986425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n v="29.356474858035774"/>
    <n v="27.531488616982244"/>
    <n v="29.578843965703289"/>
    <n v="32.51600720002795"/>
    <n v="26.206931887616264"/>
    <n v="24.402159690284829"/>
    <n v="24.171972629218068"/>
    <n v="10.806323175678498"/>
    <n v="15.897432849240936"/>
    <n v="19.961235132088564"/>
    <n v="39.39845492095845"/>
    <n v="64.284273908121193"/>
    <n v="67.173305606815376"/>
    <n v="65.453489968612018"/>
    <n v="84.808001324989903"/>
    <n v="77.206382346751326"/>
    <n v="75.030786210519537"/>
    <n v="72.77271302025953"/>
    <n v="82.874103136013588"/>
    <n v="89.595052143754842"/>
    <n v="100"/>
    <n v="68.715593885305594"/>
    <n v="99.249588365895562"/>
    <n v="89.578433166047617"/>
    <n v="41.730553599654392"/>
    <n v="35.852678798291144"/>
    <n v="70.125624349033529"/>
    <n v="80.887283605966758"/>
  </r>
  <r>
    <x v="1"/>
    <x v="0"/>
    <n v="5.1800704800183626"/>
    <n v="4.0063336143808259"/>
    <n v="2.2130939957267173"/>
    <n v="4.811445725646375"/>
    <n v="4.1059599341218034"/>
    <n v="5.42473272397255"/>
    <n v="5.589672159317832"/>
    <n v="2.8063957560779724"/>
    <n v="5.2052073625554858"/>
    <n v="5.8692457297416372"/>
    <n v="21.199269016619013"/>
    <n v="76.875432691209383"/>
    <n v="39.043862803003272"/>
    <n v="56.689936304234585"/>
    <n v="62.246224123354629"/>
    <n v="69.355638194624376"/>
    <n v="61.285147358869935"/>
    <n v="69.1352823521527"/>
    <n v="79.405373617659706"/>
    <n v="83.888417227861666"/>
    <n v="100"/>
    <n v="36.123768785982669"/>
    <n v="42.535147816157789"/>
    <n v="61.035447512380294"/>
    <n v="6.3332778013778253"/>
    <n v="11.064219323938994"/>
    <n v="20.097398845681354"/>
    <n v="19.010317577891204"/>
  </r>
  <r>
    <x v="2"/>
    <x v="0"/>
    <n v="31.713258127392876"/>
    <n v="33.217661336920187"/>
    <n v="36.412967340149734"/>
    <n v="42.493594375234579"/>
    <n v="29.818522051255254"/>
    <n v="25.705144696947833"/>
    <n v="27.986500853572561"/>
    <n v="11.893932076249316"/>
    <n v="14.135553097447659"/>
    <n v="23.431933561546753"/>
    <n v="50.712881994763762"/>
    <n v="80.416491654848343"/>
    <n v="106.17064426887066"/>
    <n v="100.70238461257816"/>
    <n v="117.90565116962544"/>
    <n v="89.194864550358005"/>
    <n v="84.467193704059426"/>
    <n v="81.236883010113473"/>
    <n v="83.955171700422611"/>
    <n v="112.5196968604791"/>
    <n v="100"/>
    <n v="80.027507747341531"/>
    <n v="119.8656831735846"/>
    <n v="102.71744864187754"/>
    <n v="60.121992073390722"/>
    <n v="34.531220108822581"/>
    <n v="60.232810196717949"/>
    <n v="59.816479032892516"/>
  </r>
  <r>
    <x v="3"/>
    <x v="0"/>
    <n v="34.617172990399652"/>
    <n v="23.838155390176752"/>
    <n v="31.182814065975354"/>
    <n v="42.39001502877975"/>
    <n v="16.032709534796645"/>
    <n v="7.1017111952555165"/>
    <n v="9.8492530416805479"/>
    <n v="4.1166083506893427"/>
    <n v="3.8882434188153021"/>
    <n v="6.9946775648187529"/>
    <n v="16.311785320376931"/>
    <n v="22.201133115923156"/>
    <n v="50.243434048611441"/>
    <n v="43.164967299229701"/>
    <n v="54.351212027915992"/>
    <n v="65.95992414591845"/>
    <n v="34.971273742032068"/>
    <n v="39.789043200616007"/>
    <n v="104.18055281310284"/>
    <n v="72.323044877134308"/>
    <n v="100"/>
    <n v="40.450423687154327"/>
    <n v="72.027416799069513"/>
    <n v="49.373746079406153"/>
    <n v="36.773472544042995"/>
    <n v="15.457664941955329"/>
    <n v="66.561753489984639"/>
    <n v="71.668982720105603"/>
  </r>
  <r>
    <x v="4"/>
    <x v="0"/>
    <n v="46.721697939961686"/>
    <n v="36.983285670396263"/>
    <n v="42.242658884980415"/>
    <n v="42.539565461576665"/>
    <n v="41.389576365108326"/>
    <n v="44.707313764833025"/>
    <n v="45.658585534952479"/>
    <n v="19.258919509653943"/>
    <n v="22.058645930788661"/>
    <n v="29.780703267851642"/>
    <n v="63.316323950968759"/>
    <n v="82.110038312012236"/>
    <n v="90.54677909828844"/>
    <n v="65.255832069387239"/>
    <n v="109.00977426038409"/>
    <n v="66.854155405552078"/>
    <n v="52.721815657834881"/>
    <n v="31.297399140537543"/>
    <n v="54.765114754917271"/>
    <n v="64.594016194595611"/>
    <n v="100"/>
    <n v="31.640017477125337"/>
    <n v="64.629037881716386"/>
    <n v="117.88746416263763"/>
    <n v="42.842512863310624"/>
    <n v="13.079404452452062"/>
    <n v="89.229824399973111"/>
    <n v="155.28980418306662"/>
  </r>
  <r>
    <x v="5"/>
    <x v="0"/>
    <n v="1.6208641871211924"/>
    <n v="0.43501648924949798"/>
    <n v="6.1649455580260577"/>
    <n v="5.3568104513850061"/>
    <n v="9.6762133389088536"/>
    <n v="5.774336210727312"/>
    <n v="5.1183670200914984"/>
    <n v="1.7512598257849903"/>
    <n v="9.1630012113039019"/>
    <n v="11.829944059199223"/>
    <n v="13.652751971719253"/>
    <n v="25.261507809177832"/>
    <n v="43.76895345388602"/>
    <n v="55.849116095234585"/>
    <n v="66.514908194755947"/>
    <n v="40.564199189995271"/>
    <n v="83.487306931632986"/>
    <n v="96.63251231094452"/>
    <n v="108.29153407087296"/>
    <n v="106.16771229961046"/>
    <n v="100"/>
    <n v="97.90091887003112"/>
    <n v="114.96482593412375"/>
    <n v="164.74725518299465"/>
    <n v="60.408218842842665"/>
    <n v="122.07655407541024"/>
    <n v="152.51686809930169"/>
    <n v="136.14854467228142"/>
  </r>
  <r>
    <x v="6"/>
    <x v="0"/>
    <n v="15.277900684397176"/>
    <n v="10.377097443589424"/>
    <n v="13.374378909217102"/>
    <n v="17.515651358944989"/>
    <n v="13.730675750742957"/>
    <n v="6.97711404164047"/>
    <n v="5.3852519526254214"/>
    <n v="1.8601319691223488"/>
    <n v="3.1239717283996837"/>
    <n v="8.7521955014754962"/>
    <n v="14.469107448239273"/>
    <n v="17.091932596874766"/>
    <n v="24.583554145481795"/>
    <n v="37.021533761783999"/>
    <n v="42.746359133640297"/>
    <n v="43.559567518167832"/>
    <n v="52.570087627062243"/>
    <n v="74.430954960443145"/>
    <n v="83.744447032457472"/>
    <n v="97.634905182674871"/>
    <n v="100"/>
    <n v="89.181264552514563"/>
    <n v="143.23035845442999"/>
    <n v="80.13929667806535"/>
    <n v="38.344450734345536"/>
    <n v="43.044886931592856"/>
    <n v="63.509651962838007"/>
    <n v="64.4128781531101"/>
  </r>
  <r>
    <x v="7"/>
    <x v="0"/>
    <n v="31.783524145083987"/>
    <n v="32.542325254307151"/>
    <n v="12.521157121553317"/>
    <n v="18.882117365814221"/>
    <n v="7.8063510662093538"/>
    <n v="20.277340266260115"/>
    <n v="6.6917357391618495"/>
    <n v="0.22429534516430205"/>
    <n v="2.0346921630149666"/>
    <n v="3.061656750367618"/>
    <n v="34.74984645648734"/>
    <n v="25.064722180713854"/>
    <n v="44.35728939778469"/>
    <n v="24.58208173537329"/>
    <n v="65.530949940821785"/>
    <n v="38.359251201651993"/>
    <n v="103.09348881419362"/>
    <n v="68.22921994875955"/>
    <n v="98.074846721820947"/>
    <n v="56.815678947364461"/>
    <n v="100"/>
    <n v="70.845160851658434"/>
    <n v="38.298376459485766"/>
    <n v="23.056343317913274"/>
    <n v="10.979790440276927"/>
    <n v="316.74293532551133"/>
    <n v="325.88735564277641"/>
    <n v="151.06250425068913"/>
  </r>
  <r>
    <x v="0"/>
    <x v="1"/>
    <m/>
    <m/>
    <n v="25.892402583652391"/>
    <n v="24.714574435107295"/>
    <n v="23.088346632583828"/>
    <n v="19.540541555581619"/>
    <n v="20.832880544982373"/>
    <n v="11.996161485778462"/>
    <n v="15.683044636263482"/>
    <n v="26.124851766126273"/>
    <n v="36.479770942068249"/>
    <n v="58.997533617316812"/>
    <n v="61.217799024244158"/>
    <n v="61.969624057763035"/>
    <n v="81.527173782548786"/>
    <n v="78.616999650749108"/>
    <n v="75.224371096504314"/>
    <n v="79.522414720950863"/>
    <n v="87.56347489374329"/>
    <n v="84.809860806270152"/>
    <n v="100"/>
    <n v="73.492623289774997"/>
    <n v="78.367325406939884"/>
    <n v="49.247281772761553"/>
    <n v="39.079176425374783"/>
    <n v="27.426483505424414"/>
    <n v="42.357215974252263"/>
    <n v="48.044517228416311"/>
  </r>
  <r>
    <x v="1"/>
    <x v="1"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  <n v="100"/>
    <n v="44.714964702536783"/>
    <n v="44.416808134657259"/>
    <n v="28.410820123420489"/>
    <n v="13.4338890989688"/>
    <n v="33.999120891370907"/>
    <n v="13.990827201184477"/>
  </r>
  <r>
    <x v="2"/>
    <x v="1"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  <n v="100"/>
    <n v="127.37691762502398"/>
    <n v="87.604856504454176"/>
    <n v="99.533193724240363"/>
    <n v="56.06850546206195"/>
    <n v="73.619517569032709"/>
    <n v="86.029937337908336"/>
  </r>
  <r>
    <x v="3"/>
    <x v="1"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  <n v="100"/>
    <n v="182.85326388270531"/>
    <n v="195.61289156808735"/>
    <n v="88.68043870402542"/>
    <n v="38.306777023564955"/>
    <n v="132.35579386428938"/>
    <n v="189.5011163176859"/>
  </r>
  <r>
    <x v="4"/>
    <x v="1"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  <n v="100"/>
    <n v="180.51799895423176"/>
    <n v="71.480442919461495"/>
    <n v="56.60350185927178"/>
    <n v="12.280429521017233"/>
    <n v="29.726218606217408"/>
    <n v="72.550102247602226"/>
  </r>
  <r>
    <x v="5"/>
    <x v="1"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  <n v="100"/>
    <n v="127.93380072411294"/>
    <n v="88.730788529027834"/>
    <n v="69.522132796824437"/>
    <n v="110.45976138709038"/>
    <n v="123.73721509813808"/>
    <n v="143.3770199573564"/>
  </r>
  <r>
    <x v="8"/>
    <x v="1"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  <n v="100"/>
    <n v="101.98285379617435"/>
    <n v="51.396535269929323"/>
    <n v="32.001715737127661"/>
    <n v="33.737060860543835"/>
    <n v="51.426774734483381"/>
    <n v="57.6113141890547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0.35597355522993684"/>
    <n v="0.39904048393061231"/>
    <n v="0.4166912904058091"/>
    <n v="0.43732322267297263"/>
    <n v="0.39241445113698348"/>
    <n v="0.34907406094304033"/>
    <n v="0.27976570835571452"/>
    <n v="0.20302028652876025"/>
    <n v="0.25478329354448637"/>
    <n v="0.37472156822286384"/>
    <n v="0.54752763884426836"/>
    <n v="0.73543386286670576"/>
    <n v="0.74098485126464009"/>
    <n v="0.74568933599625387"/>
    <n v="0.78553233038955161"/>
    <n v="0.77617834001749486"/>
    <n v="0.76066815369879714"/>
    <n v="0.62735497202172996"/>
    <n v="0.89055051581455791"/>
    <n v="0.75337875032988477"/>
    <n v="0.56842692753851343"/>
    <n v="0.56119946678024246"/>
    <n v="0.68727651123857503"/>
    <n v="0.64714496932316079"/>
    <n v="0.4309802652912002"/>
    <n v="0.30363248580840091"/>
    <n v="0.49188071729556831"/>
    <n v="0.36208960340731794"/>
    <n v="0.31988121792916202"/>
    <n v="6.4594066581480869E-2"/>
    <n v="7.9688951575499406E-2"/>
    <n v="0.10868783030873524"/>
  </r>
  <r>
    <x v="1"/>
    <n v="6.566576427045509E-2"/>
    <n v="7.5950910645668029E-2"/>
    <n v="5.6093339710238596E-2"/>
    <n v="3.4105468499643223E-2"/>
    <n v="3.3005949439308312E-2"/>
    <n v="4.0278612012635731E-2"/>
    <n v="4.3952491844801524E-2"/>
    <n v="4.4320126105900394E-2"/>
    <n v="3.5354509313096111E-2"/>
    <n v="3.3218846878509609E-2"/>
    <n v="0.17263568251488412"/>
    <n v="0.27012753310249116"/>
    <n v="0.25930412263644448"/>
    <n v="0.40885191027299506"/>
    <n v="0.29905383017619019"/>
    <n v="0.43338559234224727"/>
    <n v="0.3456654832261678"/>
    <n v="0.68149426981100725"/>
    <n v="0.62712340463938576"/>
    <n v="1.190955441019131"/>
    <n v="0.61656332151108229"/>
    <n v="0.32448048953499647"/>
    <n v="0.23174495449146473"/>
    <n v="0.14715040766120821"/>
    <n v="4.9842859217920137E-2"/>
    <n v="9.992127460336625E-2"/>
    <n v="0.36680158456081363"/>
    <n v="0.14001145333336412"/>
    <n v="0.21615715265574073"/>
    <n v="0.12380735103291213"/>
    <n v="4.8272917311619812E-2"/>
    <n v="8.4413260017880548E-2"/>
  </r>
  <r>
    <x v="2"/>
    <n v="6.9716094084339725E-3"/>
    <n v="1.5277365227145526E-2"/>
    <n v="2.55036221541242E-2"/>
    <n v="2.8679584065957078E-2"/>
    <n v="2.4486118640384118E-2"/>
    <n v="1.8392845530463463E-2"/>
    <n v="1.5615239375279286E-2"/>
    <n v="1.3012336401154595E-2"/>
    <n v="4.3091126214574713E-2"/>
    <n v="5.4178004086044437E-2"/>
    <n v="6.301654541865144E-2"/>
    <n v="9.4776966357067671E-2"/>
    <n v="0.11482427342562845"/>
    <n v="0.13859021234014191"/>
    <n v="0.16928663401650945"/>
    <n v="0.15266066198438197"/>
    <n v="0.18249289354551373"/>
    <n v="0.2186713967122953"/>
    <n v="0.23778295957566933"/>
    <n v="0.23749965408757306"/>
    <n v="0.19921358832967187"/>
    <n v="0.18232187667560068"/>
    <n v="0.15333936525948469"/>
    <n v="0.13093293083299151"/>
    <n v="0.10297100333055874"/>
    <n v="0.26162089603254796"/>
    <n v="0.40698839339790194"/>
    <n v="0.17761727695099747"/>
    <n v="0.17023428928918558"/>
    <n v="3.1407343661655811E-2"/>
    <n v="1.8493809986701588E-2"/>
    <n v="2.1122087509128792E-2"/>
  </r>
  <r>
    <x v="3"/>
    <n v="0.36532372433887916"/>
    <n v="0.33024911605286739"/>
    <n v="0.31037500482143482"/>
    <n v="0.30165927025992051"/>
    <n v="0.25296147361861482"/>
    <n v="0.31652207927312992"/>
    <n v="0.25475699425943849"/>
    <n v="0.16645317744435073"/>
    <n v="0.19034598060553745"/>
    <n v="0.23113674821630628"/>
    <n v="0.52044377286781673"/>
    <n v="0.56604392364717371"/>
    <n v="0.3452465764602014"/>
    <n v="0.32446692224528823"/>
    <n v="0.4218515011675959"/>
    <n v="0.31547511856240723"/>
    <n v="0.27111017085935823"/>
    <n v="0.19235205736201078"/>
    <n v="0.26709265391896442"/>
    <n v="0.32448967942659585"/>
    <n v="0.35664591981976357"/>
    <n v="0.17726273286452435"/>
    <n v="0.16401299279077192"/>
    <n v="0.23274705468753923"/>
    <n v="0.13250323300538003"/>
    <n v="0.10373879703854337"/>
    <n v="0.6830883992354283"/>
    <n v="0.29934783222622841"/>
    <n v="0.17013337127177244"/>
    <n v="3.1278271159221362E-2"/>
    <n v="2.2921597048818011E-3"/>
    <n v="6.2783579923858654E-4"/>
  </r>
  <r>
    <x v="4"/>
    <n v="1.8998560360116722E-2"/>
    <n v="1.934980927045462E-2"/>
    <n v="2.1904619064308378E-2"/>
    <n v="2.2165462503289868E-2"/>
    <n v="1.1142548721440678E-2"/>
    <n v="8.0481272730612216E-3"/>
    <n v="6.5545070127579885E-3"/>
    <n v="6.8678122096944485E-3"/>
    <n v="1.3329888968447078E-2"/>
    <n v="1.7317472584561185E-2"/>
    <n v="2.6556415340125289E-2"/>
    <n v="3.1595026870309087E-2"/>
    <n v="3.4221787396539888E-2"/>
    <n v="3.5872181343272108E-2"/>
    <n v="5.0938755611332175E-2"/>
    <n v="5.1597902043787273E-2"/>
    <n v="5.2543074321310987E-2"/>
    <n v="6.651928747585914E-2"/>
    <n v="7.7062802197660277E-2"/>
    <n v="9.9565734289491642E-2"/>
    <n v="0.11178197070888199"/>
    <n v="7.0104782378310249E-2"/>
    <n v="8.0677568707260019E-2"/>
    <n v="4.5463722645118845E-2"/>
    <n v="2.787881378676792E-2"/>
    <n v="3.0469947832059203E-2"/>
    <n v="5.3329175614105537E-2"/>
    <n v="7.3568195011544268E-2"/>
    <n v="6.0097997488461487E-2"/>
    <n v="2.183637318951347E-2"/>
    <n v="1.8830776999743084E-2"/>
    <n v="1.3665303549049473E-2"/>
  </r>
  <r>
    <x v="5"/>
    <n v="7.1882453703687565E-2"/>
    <n v="7.4464852035879076E-2"/>
    <n v="0.11124782029829522"/>
    <n v="0.10318417626040832"/>
    <n v="3.7381665160733685E-2"/>
    <n v="2.2419879903761999E-2"/>
    <n v="2.8387652226929017E-2"/>
    <n v="2.0654056019042029E-2"/>
    <n v="2.7407467260192719E-2"/>
    <n v="3.4694937713813767E-2"/>
    <n v="5.9249850941041189E-2"/>
    <n v="0.11668394933820929"/>
    <n v="0.12751445652223672"/>
    <n v="9.5226582723751452E-2"/>
    <n v="0.12338698774702078"/>
    <n v="0.12812105017091194"/>
    <n v="0.26093392284904376"/>
    <n v="0.15550931236836968"/>
    <n v="0.24119641556163532"/>
    <n v="0.2314902095162063"/>
    <n v="0.20135426560834163"/>
    <n v="0.13183731092516976"/>
    <n v="0.11627203904181152"/>
    <n v="7.2493292127587358E-2"/>
    <n v="4.5493421785002382E-2"/>
    <n v="4.1345926149978146E-2"/>
    <n v="0.15358553709306"/>
    <n v="0.11844344335974424"/>
    <n v="0.11567793900934323"/>
    <n v="1.3526461831489707E-2"/>
    <n v="2.9194929188667933E-2"/>
    <n v="7.4504534592063068E-3"/>
  </r>
  <r>
    <x v="6"/>
    <n v="2.770000251906847E-2"/>
    <n v="8.0759407640116965E-2"/>
    <n v="2.6821661026635083E-2"/>
    <n v="1.8335941187300711E-2"/>
    <n v="2.2534028224586486E-2"/>
    <n v="1.2182808822290656E-2"/>
    <n v="3.1591069499883346E-3"/>
    <n v="3.2391991282619556E-3"/>
    <n v="1.6388886996588751E-2"/>
    <n v="2.9006738982859461E-2"/>
    <n v="1.9674516363812761E-2"/>
    <n v="1.3383769737530091E-2"/>
    <n v="1.7356683062820965E-2"/>
    <n v="2.1552482657007262E-2"/>
    <n v="3.6994470515759548E-2"/>
    <n v="2.5039356468564831E-2"/>
    <n v="2.9778471498264288E-2"/>
    <n v="2.4332784357010237E-2"/>
    <n v="3.8829121916372777E-2"/>
    <n v="3.190603190764528E-2"/>
    <n v="2.3007189545846178E-2"/>
    <n v="2.005084864159435E-2"/>
    <n v="1.1782704964736025E-2"/>
    <n v="1.2045127895662717E-2"/>
    <n v="3.4383789040151403E-3"/>
    <n v="6.6847057835442952E-2"/>
    <n v="5.218386274596528E-2"/>
    <n v="3.227945800336128E-2"/>
    <n v="1.9313447600739681E-2"/>
    <n v="1.3448624996226488E-2"/>
    <n v="5.2374855199275698E-3"/>
    <n v="1.7787105802360627E-3"/>
  </r>
  <r>
    <x v="7"/>
    <n v="1.5625191952049027E-2"/>
    <n v="1.1747226982673069E-2"/>
    <n v="2.0684426212379148E-2"/>
    <n v="2.9938892660257451E-2"/>
    <n v="7.0338129775141353E-2"/>
    <n v="2.2783097319549698E-2"/>
    <n v="1.5084236293775236E-2"/>
    <n v="1.1804565840299387E-2"/>
    <n v="1.0308290711356589E-2"/>
    <n v="1.0034177446785315E-2"/>
    <n v="1.8736271815401252E-2"/>
    <n v="1.9072610340668851E-2"/>
    <n v="2.5430003720652475E-2"/>
    <n v="2.6648182431035956E-2"/>
    <n v="2.2100856323177664E-2"/>
    <n v="2.7805677487472976E-2"/>
    <n v="1.6159706887742865E-2"/>
    <n v="1.37710066140233E-2"/>
    <n v="2.7664018553153872E-2"/>
    <n v="3.9157337218404129E-2"/>
    <n v="2.9436959432688981E-2"/>
    <n v="2.1625540110807188E-2"/>
    <n v="2.9845715395964117E-2"/>
    <n v="2.8504331249706895E-2"/>
    <n v="1.1229973999769235E-2"/>
    <n v="1.3432712191647427E-2"/>
    <n v="3.3596960183791269E-2"/>
    <n v="2.4266507453787483E-2"/>
    <n v="1.60494166733594E-2"/>
    <n v="8.5055499155878515E-3"/>
    <n v="5.7383146797067271E-3"/>
    <n v="1.7556831596167388E-2"/>
  </r>
  <r>
    <x v="8"/>
    <n v="0.38024673438620316"/>
    <n v="0.33459888535268234"/>
    <n v="0.30131999907600554"/>
    <n v="0.32957820590820436"/>
    <n v="0.29079524153276859"/>
    <n v="0.26934742700078473"/>
    <n v="0.26070259187393852"/>
    <n v="0.22962305742456957"/>
    <n v="0.21728467088715217"/>
    <n v="0.21611610837604239"/>
    <n v="0.20147462893498241"/>
    <n v="0.20114622632191159"/>
    <n v="0.13420964293503987"/>
    <n v="0.15639701803771733"/>
    <n v="0.49279680071671605"/>
    <n v="0.75004666287843702"/>
    <n v="0.64203250095394659"/>
    <n v="0.54352235089818757"/>
    <n v="0.6293175858571054"/>
    <n v="0.59039222865920915"/>
    <n v="0.53973987408000457"/>
    <n v="0.47801285815094624"/>
    <n v="0.4807646075634226"/>
    <n v="0.17122804534572489"/>
    <n v="0.12295975613093091"/>
    <n v="0.18382824364590256"/>
    <n v="0.28514647021092299"/>
    <n v="0.19543986681034103"/>
    <n v="0.20440967220558903"/>
    <n v="5.0757398265232449E-2"/>
    <n v="3.8711600814202475E-2"/>
    <n v="3.3715493219121158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">
  <r>
    <x v="0"/>
    <n v="1.7493110325827863"/>
    <n v="10.804944251216034"/>
    <n v="10.631309618627446"/>
    <n v="32.682541395691104"/>
    <n v="13.694116515925785"/>
    <n v="0.56469276957762615"/>
    <n v="6.1785958932577296"/>
    <n v="0.57961059294017825"/>
    <n v="1.1462931108179866"/>
    <n v="2.971740750717148"/>
    <n v="7.414981817092456"/>
    <n v="36.781964819051879"/>
    <n v="88.964749912148136"/>
    <n v="117.90810452483146"/>
    <n v="55.594220510044053"/>
    <n v="2.647883682627008"/>
    <n v="16.224602115104432"/>
    <n v="6.7382670174392052"/>
    <n v="116.46718237512974"/>
    <n v="134.50544825545362"/>
    <n v="100"/>
    <n v="28.195900519066704"/>
    <n v="19.88197094216002"/>
    <n v="100.56468882467475"/>
    <n v="42.973894240283066"/>
    <n v="0"/>
    <n v="23.356549490525087"/>
    <n v="49.958540565881954"/>
    <n v="11.81796599752599"/>
    <n v="4.3217457940927795E-2"/>
    <n v="6.4051136106844314E-3"/>
    <n v="0.43882293126965394"/>
  </r>
  <r>
    <x v="1"/>
    <n v="0.71643160520065219"/>
    <n v="1.2251311267264442"/>
    <n v="0"/>
    <n v="1.9138864333131935"/>
    <n v="0.20484138910655755"/>
    <n v="1.1461401367482294E-2"/>
    <n v="9.5352948181746264E-2"/>
    <n v="0"/>
    <n v="5.4011735955645568E-2"/>
    <n v="7.8610685464326355E-2"/>
    <n v="0.11878327744968022"/>
    <n v="272.78379627636309"/>
    <n v="0.12686610350590316"/>
    <n v="87.256850551702868"/>
    <n v="35.864464574843844"/>
    <n v="6.4559968902395907E-3"/>
    <n v="20.928381053340836"/>
    <n v="19.527912230415446"/>
    <n v="20.07070743348692"/>
    <n v="33.329548087679385"/>
    <n v="100"/>
    <n v="2.0628780980465868E-2"/>
    <n v="4.7233658629349765E-2"/>
    <n v="0.79786388615786641"/>
    <n v="11.414491817802132"/>
    <n v="0"/>
    <n v="1.359651028450775E-2"/>
    <n v="0.75745223262095129"/>
    <n v="0"/>
    <n v="1.1470162328130924E-2"/>
    <n v="1.1893346977028213E-2"/>
    <n v="0"/>
  </r>
  <r>
    <x v="2"/>
    <n v="0"/>
    <n v="0"/>
    <n v="0"/>
    <n v="15.579631868831498"/>
    <n v="0"/>
    <n v="36.662356979280517"/>
    <n v="26.335275708988302"/>
    <n v="0.15855957923917235"/>
    <n v="0"/>
    <n v="32.092414055819674"/>
    <n v="2.1158576440872183"/>
    <n v="33.336194564053123"/>
    <n v="239.81696459827847"/>
    <n v="245.59994354370102"/>
    <n v="211.70975384106004"/>
    <n v="182.04536861624914"/>
    <n v="162.22760861006813"/>
    <n v="150.72185868480963"/>
    <n v="146.06273451684916"/>
    <n v="139.20641832774513"/>
    <n v="100"/>
    <n v="0"/>
    <n v="948.75358307292959"/>
    <n v="849.18983705469088"/>
    <n v="163.88094498015658"/>
    <n v="235.85958544523351"/>
    <n v="218.73621650002224"/>
    <n v="682.89809945114985"/>
    <n v="134.71770473683856"/>
    <n v="60.091975027384656"/>
    <n v="28.065121930111523"/>
    <n v="0"/>
  </r>
  <r>
    <x v="3"/>
    <n v="0"/>
    <n v="2.9883309562611542"/>
    <n v="6.1559340191899032"/>
    <n v="4.9800000720345024E-2"/>
    <n v="183.30986707257463"/>
    <n v="0"/>
    <n v="0"/>
    <n v="0"/>
    <n v="0"/>
    <n v="2.341052020473402"/>
    <n v="54.779259637524262"/>
    <n v="29.686966373882317"/>
    <n v="65.31134349516941"/>
    <n v="43.584388868092944"/>
    <n v="160.66507206620307"/>
    <n v="9.9303599075797208E-2"/>
    <n v="7.3408273619775386"/>
    <n v="12.185094593126749"/>
    <n v="122.96553437699212"/>
    <n v="108.19900054564499"/>
    <n v="100"/>
    <n v="0"/>
    <n v="85.467932158271637"/>
    <n v="322.60480795929374"/>
    <n v="78.114240788319876"/>
    <n v="0"/>
    <n v="382.6568241353994"/>
    <n v="446.93441406186372"/>
    <n v="223.50050049411848"/>
    <n v="103.99003702198286"/>
    <n v="3.2687548035745517"/>
    <n v="0"/>
  </r>
  <r>
    <x v="4"/>
    <n v="0"/>
    <n v="56.084767659284744"/>
    <n v="60.580354104751187"/>
    <n v="110.45621011698537"/>
    <n v="143.76753984022847"/>
    <n v="4.4250347474349967"/>
    <n v="26.912825001991738"/>
    <n v="0.66820235887848134"/>
    <n v="0"/>
    <n v="6.1938293241864315"/>
    <n v="43.344438065732966"/>
    <n v="48.781942813580052"/>
    <n v="101.87249433214912"/>
    <n v="336.7488984063371"/>
    <n v="508.68178130938873"/>
    <n v="45.141806943418871"/>
    <n v="163.18082417439601"/>
    <n v="4.5749997702700576"/>
    <n v="931.41828391230808"/>
    <n v="88.019375230217136"/>
    <n v="100"/>
    <n v="0.27448814127864052"/>
    <n v="2813.9713138907605"/>
    <n v="641.26056192732631"/>
    <n v="383.59007049837248"/>
    <n v="1.3012633028096301"/>
    <n v="0.54722122478955637"/>
    <n v="426.46969021982352"/>
    <n v="104.19806500563095"/>
    <n v="0"/>
    <n v="28.436415598539277"/>
    <n v="1.5480069713470925"/>
  </r>
  <r>
    <x v="5"/>
    <n v="639.50511246283975"/>
    <n v="50.286753985980653"/>
    <n v="9.559569834382966"/>
    <n v="673.47161728796141"/>
    <n v="242.79265376715986"/>
    <n v="0.9425958398012545"/>
    <n v="9.0415461352120238E-2"/>
    <n v="0"/>
    <n v="1.6003337861772957"/>
    <n v="0.90105095961397075"/>
    <n v="186.33452857925104"/>
    <n v="25.427446728262929"/>
    <n v="43.48988326485631"/>
    <n v="58.865463658514741"/>
    <n v="108.5874003962749"/>
    <n v="631.47210896977253"/>
    <n v="26.361472588981293"/>
    <n v="38.642995249859389"/>
    <n v="0.54052898484455869"/>
    <n v="346.15235448073508"/>
    <n v="100"/>
    <n v="0"/>
    <n v="12.805564305157628"/>
    <n v="216.6592769951759"/>
    <n v="315.59624256030975"/>
    <n v="45.746167911362775"/>
    <n v="59.688692009342759"/>
    <n v="270.86110170899144"/>
    <n v="1117.7682358077418"/>
    <n v="0"/>
    <n v="3.3985985183416898"/>
    <n v="0"/>
  </r>
  <r>
    <x v="6"/>
    <n v="18.627244818438477"/>
    <n v="52.982050446226943"/>
    <n v="3.7922263799869258"/>
    <n v="7.3950925751957826"/>
    <n v="17.229835906252855"/>
    <n v="14.036567437909099"/>
    <n v="0.26367324004530912"/>
    <n v="0"/>
    <n v="0.16906880561137724"/>
    <n v="0.20971577649728201"/>
    <n v="1.4993224364715281"/>
    <n v="0.18150239473528665"/>
    <n v="2.2840442983912492"/>
    <n v="2.6989525988257346"/>
    <n v="4.1996045453180386"/>
    <n v="67.086285284019098"/>
    <n v="132.78101898372827"/>
    <n v="39.252052495059878"/>
    <n v="33.385578396092413"/>
    <n v="17.102030525197037"/>
    <n v="100"/>
    <n v="1.9462021168122141E-2"/>
    <n v="12.744309224573341"/>
    <n v="17.608824880751392"/>
    <n v="0"/>
    <n v="2.6631494944343461"/>
    <n v="36.049439513248892"/>
    <n v="146.71586888986087"/>
    <n v="58.389221352452033"/>
    <n v="0.24863960528131218"/>
    <n v="6.9823401607235464E-2"/>
    <n v="1.7637543058692273"/>
  </r>
  <r>
    <x v="7"/>
    <n v="31.351685168127808"/>
    <n v="36729.144314777259"/>
    <n v="2195.4790790782395"/>
    <n v="465.16777783505603"/>
    <n v="17996.117160741738"/>
    <n v="29092.855992846253"/>
    <n v="8531.1985795906421"/>
    <n v="0"/>
    <n v="135.35255151684169"/>
    <n v="73.633852967803023"/>
    <n v="5107.4093414036643"/>
    <n v="29384.343820923488"/>
    <n v="0"/>
    <n v="12.772182459620339"/>
    <n v="21723.20384179016"/>
    <n v="50305.126215934943"/>
    <n v="3761.8883579636704"/>
    <n v="42.180984244865314"/>
    <n v="2674.3714446843524"/>
    <n v="9719.7624170805393"/>
    <n v="100"/>
    <n v="0"/>
    <n v="44084.374924503994"/>
    <n v="12.395295720808917"/>
    <n v="0"/>
    <n v="0"/>
    <n v="0"/>
    <n v="0"/>
    <n v="533.76779220988715"/>
    <n v="0"/>
    <n v="0"/>
    <n v="744.5698367784148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8">
  <r>
    <x v="0"/>
    <n v="31.180329061435454"/>
    <n v="36.807343102134773"/>
    <n v="41.120439342161397"/>
    <n v="43.648132239091311"/>
    <n v="37.691503845447251"/>
    <n v="33.88670335351916"/>
    <n v="25.910452280239507"/>
    <n v="16.886435040057108"/>
    <n v="23.065133237941396"/>
    <n v="41.652789880214534"/>
    <n v="66.435747445575672"/>
    <n v="99.073843893214104"/>
    <n v="110.29279008305537"/>
    <n v="116.36944688952362"/>
    <n v="117.25661755512648"/>
    <n v="122.56059895581465"/>
    <n v="128.22150316164502"/>
    <n v="104.44812816992057"/>
    <n v="148.3531719227847"/>
    <n v="127.74841899323171"/>
    <n v="100"/>
    <n v="96.614697893154997"/>
    <n v="122.9614176005479"/>
    <n v="118.46043032377"/>
    <n v="74.503779413933003"/>
    <n v="46.478027185387695"/>
    <n v="85.508800841889993"/>
    <n v="65.367086000686683"/>
    <n v="59.593472836660766"/>
    <n v="10.438267374564521"/>
    <n v="14.446642470546333"/>
  </r>
  <r>
    <x v="1"/>
    <n v="5.4864712244747436"/>
    <n v="6.6873229917591281"/>
    <n v="5.2934720311191308"/>
    <n v="3.2542895838243715"/>
    <n v="3.0298785591172033"/>
    <n v="3.737703072153777"/>
    <n v="3.8965201366774616"/>
    <n v="3.4427248937917692"/>
    <n v="3.0632085065927108"/>
    <n v="3.5450950435200745"/>
    <n v="19.825334486544268"/>
    <n v="35.160488978381558"/>
    <n v="36.140578253339918"/>
    <n v="59.855115132535481"/>
    <n v="42.162316053442765"/>
    <n v="64.565796215647126"/>
    <n v="55.350342755465405"/>
    <n v="106.26839998838295"/>
    <n v="98.564109099394969"/>
    <n v="182.27235253980609"/>
    <n v="100"/>
    <n v="51.756065396166093"/>
    <n v="39.677617579138278"/>
    <n v="26.179018383495258"/>
    <n v="8.1244952474979915"/>
    <n v="14.061697197516402"/>
    <n v="57.177938987990501"/>
    <n v="22.732649964824652"/>
    <n v="39.686033854315497"/>
    <n v="19.886918316880323"/>
    <n v="8.0340227668549602"/>
  </r>
  <r>
    <x v="2"/>
    <n v="1.7441526285865505"/>
    <n v="4.0180981170425429"/>
    <n v="7.2016096122443072"/>
    <n v="8.1798406537469344"/>
    <n v="6.7011037058244067"/>
    <n v="5.1021325710251011"/>
    <n v="4.1340928456093637"/>
    <n v="3.0403830285764384"/>
    <n v="11.135862905372868"/>
    <n v="17.201909360490916"/>
    <n v="21.72692672780142"/>
    <n v="36.410181197860965"/>
    <n v="48.311043117885802"/>
    <n v="61.479963860083288"/>
    <n v="71.590400040976746"/>
    <n v="68.199349225671796"/>
    <n v="88.442002503332034"/>
    <n v="105.03187303031589"/>
    <n v="115.73520595747586"/>
    <n v="113.99635473936586"/>
    <n v="100"/>
    <n v="90.581233143032492"/>
    <n v="80.893817296616504"/>
    <n v="74.702352473674978"/>
    <n v="52.401377642053937"/>
    <n v="117.35375335745263"/>
    <n v="200.68320211855089"/>
    <n v="95.477178196926218"/>
    <n v="90.990182730219146"/>
    <n v="15.862205147009817"/>
    <n v="9.4384109366703708"/>
  </r>
  <r>
    <x v="3"/>
    <n v="51.276857540228164"/>
    <n v="48.810044011002795"/>
    <n v="49.140601707327725"/>
    <n v="48.2944454931298"/>
    <n v="38.911369507045357"/>
    <n v="49.305938231726046"/>
    <n v="37.819331691168436"/>
    <n v="22.770858002620898"/>
    <n v="27.640652177731276"/>
    <n v="41.292684812852706"/>
    <n v="100.96288421174731"/>
    <n v="122.38985257391541"/>
    <n v="82.490925385506927"/>
    <n v="80.831245223797168"/>
    <n v="101.20443357810436"/>
    <n v="80.262644728959174"/>
    <n v="73.328427533982932"/>
    <n v="51.008133472579594"/>
    <n v="72.427012478339876"/>
    <n v="86.335515667628897"/>
    <n v="100"/>
    <n v="48.019401933583737"/>
    <n v="48.226972237134682"/>
    <n v="72.54630003606087"/>
    <n v="38.522722077743715"/>
    <n v="25.584318746159614"/>
    <n v="183.07416045685116"/>
    <n v="96.605784465011041"/>
    <n v="54.373086341720253"/>
    <n v="10.002318282379228"/>
    <n v="0.64752822893851225"/>
  </r>
  <r>
    <x v="4"/>
    <n v="8.7841382014069715"/>
    <n v="9.4229060745026079"/>
    <n v="11.421559607998681"/>
    <n v="11.69154742162892"/>
    <n v="5.6379627430133326"/>
    <n v="4.1277340737463675"/>
    <n v="3.2146359558391508"/>
    <n v="2.9030292698421136"/>
    <n v="6.3607441751047684"/>
    <n v="10.11848637852726"/>
    <n v="16.78315327876"/>
    <n v="22.227895788212763"/>
    <n v="26.273380292987447"/>
    <n v="29.1250886960641"/>
    <n v="39.57548150384406"/>
    <n v="42.340194442341442"/>
    <n v="46.202759293054761"/>
    <n v="58.131097272739645"/>
    <n v="67.9695689467911"/>
    <n v="85.790221088232371"/>
    <n v="100"/>
    <n v="63.292751556658914"/>
    <n v="76.488201738373689"/>
    <n v="43.787720911812031"/>
    <n v="25.44964504057037"/>
    <n v="25.004893214248568"/>
    <n v="49.038902593274727"/>
    <n v="67.686887734824097"/>
    <n v="59.116333456107029"/>
    <n v="19.529125895376058"/>
    <n v="17.884415131512206"/>
  </r>
  <r>
    <x v="5"/>
    <n v="18.164807854124316"/>
    <n v="19.820999714607716"/>
    <n v="31.68842416574719"/>
    <n v="29.698970779816442"/>
    <n v="10.322750242223625"/>
    <n v="6.2786440618392714"/>
    <n v="7.573686446038959"/>
    <n v="4.9018690522630104"/>
    <n v="7.1371406511093927"/>
    <n v="11.092426458061192"/>
    <n v="20.656313798544513"/>
    <n v="44.920360225790205"/>
    <n v="53.823798795180316"/>
    <n v="42.474249351459079"/>
    <n v="52.619344905122958"/>
    <n v="58.307321553274477"/>
    <n v="124.18517234102653"/>
    <n v="72.708936489052476"/>
    <n v="116.96243258039395"/>
    <n v="109.076455087318"/>
    <n v="100"/>
    <n v="63.108245085329941"/>
    <n v="60.705955505891531"/>
    <n v="39.183383049459579"/>
    <n v="23.698411898014129"/>
    <n v="18.369936792876743"/>
    <n v="76.908460921038014"/>
    <n v="65.127439156602037"/>
    <n v="60.762892375037602"/>
    <n v="6.0642605484653984"/>
    <n v="15.543068169908912"/>
  </r>
  <r>
    <x v="6"/>
    <n v="60.380534829697389"/>
    <n v="185.2729700428979"/>
    <n v="65.972182119393878"/>
    <n v="45.627370565807738"/>
    <n v="54.178910513274452"/>
    <n v="29.512074186096932"/>
    <n v="7.2953786093664235"/>
    <n v="6.3707628371163967"/>
    <n v="36.689854983229218"/>
    <n v="79.081551793588545"/>
    <n v="59.043303165858617"/>
    <n v="44.765364371278274"/>
    <n v="63.435237572005683"/>
    <n v="81.378473816922991"/>
    <n v="133.62864986354271"/>
    <n v="96.47886939135762"/>
    <n v="125.14593588737972"/>
    <n v="100.29540614687448"/>
    <n v="162.83906871927141"/>
    <n v="128.01982256595821"/>
    <n v="100"/>
    <n v="84.9729286545805"/>
    <n v="51.925959593718801"/>
    <n v="50.452148323743245"/>
    <n v="14.271394118432939"/>
    <n v="260.07715522599375"/>
    <n v="237.50640035382528"/>
    <n v="143.81906555617599"/>
    <n v="86.031969393249042"/>
    <n v="52.690005417739513"/>
    <n v="23.223943020419384"/>
  </r>
  <r>
    <x v="7"/>
    <n v="27.222539345222941"/>
    <n v="21.557032849418764"/>
    <n v="40.636093637084514"/>
    <n v="59.514280389800064"/>
    <n v="134.84677747979137"/>
    <n v="44.101738351264203"/>
    <n v="27.79347309566031"/>
    <n v="19.185930266492555"/>
    <n v="18.530948177840024"/>
    <n v="22.074564640217631"/>
    <n v="44.231598065198881"/>
    <n v="50.639976067717299"/>
    <n v="72.449806166687466"/>
    <n v="80.591845486384685"/>
    <n v="64.017794519522084"/>
    <n v="85.392270535117589"/>
    <n v="53.219241236355522"/>
    <n v="44.016016877874883"/>
    <n v="89.562474356691254"/>
    <n v="125.40123747707267"/>
    <n v="100"/>
    <n v="72.512792978463096"/>
    <n v="105.32408659359835"/>
    <n v="96.653913440011408"/>
    <n v="37.007501500285066"/>
    <n v="38.692848950446368"/>
    <n v="113.90402675093397"/>
    <n v="85.711549523163214"/>
    <n v="57.627286289641262"/>
    <n v="27.240085151725559"/>
    <n v="20.17596799906397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">
  <r>
    <x v="0"/>
    <n v="0.37961101489806426"/>
    <n v="0.23516193871649696"/>
    <n v="0.20755369919524047"/>
    <n v="0.12853524961367635"/>
    <n v="9.5705909135818751E-2"/>
    <n v="0.13542025338093644"/>
    <n v="0.25335440743882226"/>
    <n v="0.28703665547507345"/>
    <n v="0.14853511177098291"/>
    <n v="3.785206594824353E-2"/>
  </r>
  <r>
    <x v="1"/>
    <n v="0.49873850547052545"/>
    <n v="0.53497070937807067"/>
    <n v="0.42248558739413755"/>
    <n v="0.44992950014714639"/>
    <n v="0.33527351388581561"/>
    <n v="0.48209458751021311"/>
    <n v="0.41156866665894937"/>
    <n v="0.32680360974231176"/>
    <n v="7.014482877813516E-2"/>
    <n v="0.10805665685231487"/>
  </r>
  <r>
    <x v="2"/>
    <n v="8.9922903769194082E-2"/>
    <n v="0.1034527543698599"/>
    <n v="0.112359530160289"/>
    <n v="4.9056415791452895E-2"/>
    <n v="3.165585753228993E-2"/>
    <n v="9.750128426919949E-2"/>
    <n v="0.10114968482957754"/>
    <n v="0.10715190336807159"/>
    <n v="1.4488509481033555E-2"/>
    <n v="2.8474576262355309E-2"/>
  </r>
  <r>
    <x v="3"/>
    <n v="0.33641788069131795"/>
    <n v="0.28104088026434304"/>
    <n v="0.1433100801530153"/>
    <n v="0.1055435407222729"/>
    <n v="4.9034513538900412E-2"/>
    <n v="0.11043641743484781"/>
    <n v="0.22530140992120434"/>
    <n v="0.21254707331404249"/>
    <n v="1.7192729377622153E-2"/>
    <n v="6.8958583591588792E-3"/>
  </r>
  <r>
    <x v="4"/>
    <n v="0.18388073172427444"/>
    <n v="0.17896051674024455"/>
    <n v="0.12174181407209932"/>
    <n v="0.10722126715372046"/>
    <n v="0.20514326083248907"/>
    <n v="0.18731872946095757"/>
    <n v="0.19718115003259745"/>
    <n v="0.19456166969723732"/>
    <n v="4.8304958938965893E-2"/>
    <n v="4.860955474304824E-2"/>
  </r>
  <r>
    <x v="5"/>
    <n v="0.72401367025844032"/>
    <n v="0.61697176596196224"/>
    <n v="0.41878801533347615"/>
    <n v="0.25608999120164783"/>
    <n v="0.31085401596124373"/>
    <n v="0.39586245789406693"/>
    <n v="0.42044265043507711"/>
    <n v="0.46764871528033514"/>
    <n v="0.10708410744053258"/>
    <n v="0.1225642449392298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6">
  <r>
    <x v="0"/>
    <n v="754.20159064716881"/>
    <n v="117.67873875909275"/>
    <n v="115.14985909769933"/>
    <n v="100"/>
    <n v="38.790602779381288"/>
    <n v="116.42590281685688"/>
    <n v="41.051779934433306"/>
    <n v="246.81089882464309"/>
    <n v="56.29661934002889"/>
    <n v="31.11883742450798"/>
    <n v="4.948990436579197"/>
  </r>
  <r>
    <x v="1"/>
    <n v="61.775318358480412"/>
    <n v="80.872799929558226"/>
    <n v="52.116129898194956"/>
    <n v="100"/>
    <n v="23.819514006050433"/>
    <n v="44.841932483483369"/>
    <n v="59.452827888143588"/>
    <n v="40.630761781375078"/>
    <n v="3.8658840681276763"/>
    <n v="8.8897822435058558"/>
    <n v="11.559716060685355"/>
  </r>
  <r>
    <x v="2"/>
    <n v="185.30549650524119"/>
    <n v="180.49543796111098"/>
    <n v="159.53275299656406"/>
    <n v="100"/>
    <n v="68.549604319079037"/>
    <n v="40.818757988318211"/>
    <n v="184.33073948870015"/>
    <n v="382.54729735582737"/>
    <n v="5.1592606305017465"/>
    <n v="2.2675198306090607"/>
    <n v="13.138369776908618"/>
  </r>
  <r>
    <x v="3"/>
    <n v="178.09355075340937"/>
    <n v="389.17961636143679"/>
    <n v="26.688548366115992"/>
    <n v="100"/>
    <n v="33.473411375738166"/>
    <n v="20.711746355098597"/>
    <n v="61.319823224395414"/>
    <n v="141.60280797178825"/>
    <n v="4.7463193589439197"/>
    <n v="7.4572148655833468"/>
    <n v="1.3952020941601659"/>
  </r>
  <r>
    <x v="4"/>
    <n v="176.48919084363789"/>
    <n v="249.42240475208521"/>
    <n v="78.067623039118928"/>
    <n v="100"/>
    <n v="15.303484487672947"/>
    <n v="280.62580371652012"/>
    <n v="245.9700599289221"/>
    <n v="215.6595373107919"/>
    <n v="47.814098848504933"/>
    <n v="51.987763904252454"/>
    <n v="56.761479097675711"/>
  </r>
  <r>
    <x v="5"/>
    <n v="160.55299679900071"/>
    <n v="285.3081744942204"/>
    <n v="157.48694965757269"/>
    <n v="100"/>
    <n v="92.181451554229227"/>
    <n v="157.45522902422798"/>
    <n v="234.74589397730205"/>
    <n v="198.88258480668989"/>
    <n v="28.612107266938821"/>
    <n v="51.392456155115042"/>
    <n v="24.11816267755034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6">
  <r>
    <x v="0"/>
    <n v="294.97536428344876"/>
    <n v="182.72137070627787"/>
    <n v="167.45854645243114"/>
    <n v="100"/>
    <n v="64.387672018929393"/>
    <n v="106.2318824331105"/>
    <n v="197.08662972045136"/>
    <n v="257.65887349994534"/>
    <n v="112.65332578543759"/>
    <n v="30.409681240555788"/>
  </r>
  <r>
    <x v="1"/>
    <n v="107.74646753958997"/>
    <n v="121.07873951862847"/>
    <n v="95.774000160618812"/>
    <n v="100"/>
    <n v="64.475964793614182"/>
    <n v="104.38854535800677"/>
    <n v="93.443512208156434"/>
    <n v="74.629907829412886"/>
    <n v="14.563251621623376"/>
    <n v="24.586990907340496"/>
  </r>
  <r>
    <x v="2"/>
    <n v="172.03367322578006"/>
    <n v="210.92765112262643"/>
    <n v="232.10526783710731"/>
    <n v="100"/>
    <n v="55.767636531471588"/>
    <n v="190.34764916465107"/>
    <n v="215.02858647164223"/>
    <n v="222.26686582759052"/>
    <n v="26.060815726544156"/>
    <n v="58.531416153628257"/>
  </r>
  <r>
    <x v="3"/>
    <n v="298.36892211108176"/>
    <n v="270.49452137176468"/>
    <n v="138.46366839281137"/>
    <n v="100"/>
    <n v="38.654665405159889"/>
    <n v="99.345302452238073"/>
    <n v="209.58417857740884"/>
    <n v="215.43716348535648"/>
    <n v="14.675689505360774"/>
    <n v="6.512432122626449"/>
  </r>
  <r>
    <x v="4"/>
    <n v="166.75076162086654"/>
    <n v="171.25204677722942"/>
    <n v="119.47546310162735"/>
    <n v="100"/>
    <n v="167.30178311294057"/>
    <n v="177.60021611641767"/>
    <n v="190.13424184937017"/>
    <n v="189.39660603905327"/>
    <n v="43.500318733874401"/>
    <n v="46.788123736631121"/>
  </r>
  <r>
    <x v="5"/>
    <n v="277.77454803024398"/>
    <n v="247.42332353837514"/>
    <n v="169.83724019100882"/>
    <n v="100"/>
    <n v="106.5730617998492"/>
    <n v="155.36103995892668"/>
    <n v="168.52380808406417"/>
    <n v="192.64483396049673"/>
    <n v="39.685079927743857"/>
    <n v="49.2966422502429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4" dataOnRows="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1">
  <location ref="B47:C59" firstHeaderRow="1" firstDataRow="1" firstDataCol="1" rowPageCount="1" colPageCount="1"/>
  <pivotFields count="33">
    <pivotField axis="axisPage" multipleItemSelectionAllowed="1" showAll="0">
      <items count="10">
        <item h="1" x="2"/>
        <item h="1" x="4"/>
        <item h="1" x="5"/>
        <item h="1" x="1"/>
        <item h="1" x="8"/>
        <item h="1" x="6"/>
        <item h="1" x="0"/>
        <item x="3"/>
        <item h="1" x="7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 defaultSubtotal="0"/>
    <pivotField dataField="1" numFmtId="2" showAll="0" defaultSubtotal="0"/>
    <pivotField dataField="1" numFmtId="2" showAll="0" defaultSubtotal="0"/>
    <pivotField dataField="1" numFmtId="2" showAll="0"/>
    <pivotField dataField="1" numFmtId="164" showAll="0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Items count="1">
    <i/>
  </colItems>
  <pageFields count="1">
    <pageField fld="0" hier="-1"/>
  </pageFields>
  <dataFields count="12">
    <dataField name=" 2015" fld="21" baseField="0" baseItem="0"/>
    <dataField name=" 2016" fld="22" baseField="0" baseItem="0"/>
    <dataField name=" 2017" fld="23" baseField="0" baseItem="0"/>
    <dataField name=" 2018" fld="24" baseField="0" baseItem="0"/>
    <dataField name=" 2019" fld="25" baseField="0" baseItem="0"/>
    <dataField name=" 2020" fld="26" baseField="0" baseItem="0"/>
    <dataField name=" 2021" fld="27" baseField="0" baseItem="0"/>
    <dataField name="2022 " fld="28" baseField="0" baseItem="0"/>
    <dataField name="2023 " fld="29" baseField="0" baseItem="0"/>
    <dataField name="2024 " fld="30" baseField="0" baseItem="0"/>
    <dataField name="2025* " fld="31" baseField="0" baseItem="0" numFmtId="2"/>
    <dataField name="2026** " fld="32" baseField="0" baseItem="2122310784"/>
  </dataFields>
  <formats count="12">
    <format dxfId="297">
      <pivotArea outline="0" collapsedLevelsAreSubtotals="1" fieldPosition="0"/>
    </format>
    <format dxfId="296">
      <pivotArea outline="0" collapsedLevelsAreSubtotals="1" fieldPosition="0"/>
    </format>
    <format dxfId="295">
      <pivotArea outline="0" collapsedLevelsAreSubtotals="1" fieldPosition="0"/>
    </format>
    <format dxfId="294">
      <pivotArea outline="0" collapsedLevelsAreSubtotals="1" fieldPosition="0"/>
    </format>
    <format dxfId="293">
      <pivotArea outline="0" collapsedLevelsAreSubtotals="1" fieldPosition="0"/>
    </format>
    <format dxfId="292">
      <pivotArea outline="0" collapsedLevelsAreSubtotals="1" fieldPosition="0"/>
    </format>
    <format dxfId="291">
      <pivotArea outline="0" collapsedLevelsAreSubtotals="1" fieldPosition="0"/>
    </format>
    <format dxfId="290">
      <pivotArea outline="0" collapsedLevelsAreSubtotals="1" fieldPosition="0"/>
    </format>
    <format dxfId="289">
      <pivotArea outline="0" collapsedLevelsAreSubtotals="1" fieldPosition="0"/>
    </format>
    <format dxfId="28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8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8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2" cacheId="5" dataOnRows="1" applyNumberFormats="0" applyBorderFormats="0" applyFontFormats="0" applyPatternFormats="0" applyAlignmentFormats="0" applyWidthHeightFormats="1" dataCaption="Valores" updatedVersion="6" minRefreshableVersion="3" rowGrandTotals="0" itemPrintTitles="1" createdVersion="6" indent="0" outline="1" outlineData="1" multipleFieldFilters="0" chartFormat="2">
  <location ref="B45:C57" firstHeaderRow="1" firstDataRow="1" firstDataCol="1"/>
  <pivotFields count="33">
    <pivotField showAll="0">
      <items count="9">
        <item x="2"/>
        <item h="1" x="4"/>
        <item h="1" x="7"/>
        <item h="1" x="5"/>
        <item h="1" x="1"/>
        <item h="1" x="6"/>
        <item h="1" x="0"/>
        <item h="1" x="3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/>
    <pivotField dataField="1" numFmtId="167" showAll="0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Items count="1">
    <i/>
  </colItems>
  <dataFields count="12">
    <dataField name=" 2015" fld="21" baseField="0" baseItem="0"/>
    <dataField name=" 2016" fld="22" baseField="0" baseItem="0"/>
    <dataField name=" 2017" fld="23" baseField="0" baseItem="0"/>
    <dataField name=" 2018" fld="24" baseField="0" baseItem="0"/>
    <dataField name=" 2019" fld="25" baseField="0" baseItem="0"/>
    <dataField name=" 2020" fld="26" baseField="0" baseItem="0"/>
    <dataField name=" 2021" fld="27" baseField="0" baseItem="0"/>
    <dataField name="2022 " fld="28" baseField="0" baseItem="0"/>
    <dataField name="2023 " fld="29" baseField="0" baseItem="0"/>
    <dataField name="2024 " fld="30" baseField="0" baseItem="0"/>
    <dataField name="2025 " fld="31" baseField="0" baseItem="0" numFmtId="164"/>
    <dataField name="2026 " fld="32" baseField="0" baseItem="2122310784"/>
  </dataFields>
  <formats count="1">
    <format dxfId="285">
      <pivotArea outline="0" collapsedLevelsAreSubtotals="1" fieldPosition="0"/>
    </format>
  </formats>
  <chartFormats count="2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2" cacheId="6" dataOnRows="1" applyNumberFormats="0" applyBorderFormats="0" applyFontFormats="0" applyPatternFormats="0" applyAlignmentFormats="0" applyWidthHeightFormats="1" dataCaption="Valores" updatedVersion="6" minRefreshableVersion="3" rowGrandTotals="0" itemPrintTitles="1" createdVersion="6" indent="0" outline="1" outlineData="1" multipleFieldFilters="0" chartFormat="1">
  <location ref="B45:C56" firstHeaderRow="1" firstDataRow="1" firstDataCol="1" rowPageCount="1" colPageCount="1"/>
  <pivotFields count="32">
    <pivotField axis="axisPage" multipleItemSelectionAllowed="1" showAll="0">
      <items count="9">
        <item x="2"/>
        <item h="1" x="4"/>
        <item h="1" x="5"/>
        <item h="1" x="1"/>
        <item h="1" x="6"/>
        <item h="1" x="0"/>
        <item h="1" x="3"/>
        <item h="1" x="7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Items count="1">
    <i/>
  </colItems>
  <pageFields count="1">
    <pageField fld="0" hier="-1"/>
  </pageFields>
  <dataFields count="11">
    <dataField name=" 2015" fld="21" baseField="0" baseItem="0"/>
    <dataField name=" 2016" fld="22" baseField="0" baseItem="0"/>
    <dataField name=" 2017" fld="23" baseField="0" baseItem="0"/>
    <dataField name=" 2018" fld="24" baseField="0" baseItem="0"/>
    <dataField name=" 2019" fld="25" baseField="0" baseItem="0"/>
    <dataField name=" 2020" fld="26" baseField="0" baseItem="0"/>
    <dataField name=" 2021" fld="27" baseField="0" baseItem="0"/>
    <dataField name="2022 " fld="28" baseField="0" baseItem="0"/>
    <dataField name="2023 " fld="29" baseField="0" baseItem="0"/>
    <dataField name="2024 " fld="30" baseField="0" baseItem="0"/>
    <dataField name="2025 " fld="31" baseField="0" baseItem="2122310784"/>
  </dataFields>
  <formats count="1">
    <format dxfId="284">
      <pivotArea outline="0" collapsedLevelsAreSubtotals="1" fieldPosition="0"/>
    </format>
  </format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12" cacheId="11" dataOnRows="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4">
  <location ref="B43:C53" firstHeaderRow="1" firstDataRow="1" firstDataCol="1" rowPageCount="1" colPageCount="1"/>
  <pivotFields count="11">
    <pivotField axis="axisPage" multipleItemSelectionAllowed="1" showAll="0">
      <items count="7">
        <item h="1" x="4"/>
        <item h="1" x="2"/>
        <item h="1" x="0"/>
        <item h="1" x="5"/>
        <item h="1" x="1"/>
        <item x="3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 defaultSubtotal="0"/>
    <pivotField dataField="1" numFmtId="2" showAll="0" defaultSubtotal="0"/>
    <pivotField dataField="1" numFmtId="2" showAll="0" defaultSubtotal="0"/>
    <pivotField dataField="1" numFmtId="2" showAll="0" defaultSubtota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pageFields count="1">
    <pageField fld="0" hier="-1"/>
  </pageFields>
  <dataFields count="10">
    <dataField name=" 2016" fld="1" baseField="0" baseItem="0"/>
    <dataField name=" 2017" fld="2" baseField="0" baseItem="0"/>
    <dataField name=" 2018" fld="3" baseField="0" baseItem="0"/>
    <dataField name=" 2019" fld="4" baseField="0" baseItem="0"/>
    <dataField name=" 2020" fld="5" baseField="0" baseItem="0"/>
    <dataField name=" 2021" fld="6" baseField="0" baseItem="0"/>
    <dataField name=" 2022" fld="7" baseField="0" baseItem="0"/>
    <dataField name=" 2023" fld="8" baseField="0" baseItem="0"/>
    <dataField name=" 2024" fld="9" baseField="0" baseItem="0"/>
    <dataField name=" 2025*" fld="10" baseField="0" baseItem="0"/>
  </dataFields>
  <formats count="6">
    <format dxfId="283">
      <pivotArea outline="0" collapsedLevelsAreSubtotals="1" fieldPosition="0"/>
    </format>
    <format dxfId="282">
      <pivotArea outline="0" collapsedLevelsAreSubtotals="1" fieldPosition="0"/>
    </format>
    <format dxfId="281">
      <pivotArea outline="0" collapsedLevelsAreSubtotals="1" fieldPosition="0"/>
    </format>
    <format dxfId="280">
      <pivotArea outline="0" collapsedLevelsAreSubtotals="1" fieldPosition="0"/>
    </format>
    <format dxfId="279">
      <pivotArea outline="0" collapsedLevelsAreSubtotals="1" fieldPosition="0"/>
    </format>
    <format dxfId="278">
      <pivotArea outline="0" collapsedLevelsAreSubtotals="1" fieldPosition="0"/>
    </format>
  </formats>
  <chartFormats count="2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15" cacheId="16" dataOnRows="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2">
  <location ref="B40:C51" firstHeaderRow="1" firstDataRow="1" firstDataCol="1" rowPageCount="1" colPageCount="1"/>
  <pivotFields count="12">
    <pivotField axis="axisPage" multipleItemSelectionAllowed="1" showAll="0">
      <items count="7">
        <item x="4"/>
        <item h="1" x="2"/>
        <item h="1" x="0"/>
        <item h="1" x="5"/>
        <item h="1" x="1"/>
        <item h="1" x="3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/>
    <pivotField dataField="1" numFmtId="164" showAll="0" defaultSubtota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Items count="1">
    <i/>
  </colItems>
  <pageFields count="1">
    <pageField fld="0" hier="-1"/>
  </pageFields>
  <dataFields count="11">
    <dataField name=" 2016" fld="1" baseField="0" baseItem="0"/>
    <dataField name=" 2017" fld="2" baseField="0" baseItem="0"/>
    <dataField name=" 2018" fld="3" baseField="0" baseItem="0"/>
    <dataField name=" 2019" fld="4" baseField="0" baseItem="0"/>
    <dataField name=" 2020" fld="5" baseField="0" baseItem="0"/>
    <dataField name=" 2021" fld="6" baseField="0" baseItem="0"/>
    <dataField name=" 2022" fld="7" baseField="0" baseItem="0"/>
    <dataField name=" 2023" fld="8" baseField="0" baseItem="0"/>
    <dataField name=" 2024" fld="9" baseField="0" baseItem="0"/>
    <dataField name="2025 " fld="10" baseField="0" baseItem="0" numFmtId="164"/>
    <dataField name="2026 " fld="11" baseField="0" baseItem="0"/>
  </dataFields>
  <formats count="6">
    <format dxfId="277">
      <pivotArea outline="0" collapsedLevelsAreSubtotals="1" fieldPosition="0"/>
    </format>
    <format dxfId="276">
      <pivotArea outline="0" collapsedLevelsAreSubtotals="1" fieldPosition="0"/>
    </format>
    <format dxfId="275">
      <pivotArea outline="0" collapsedLevelsAreSubtotals="1" fieldPosition="0"/>
    </format>
    <format dxfId="274">
      <pivotArea outline="0" collapsedLevelsAreSubtotals="1" fieldPosition="0"/>
    </format>
    <format dxfId="273">
      <pivotArea outline="0" collapsedLevelsAreSubtotals="1" fieldPosition="0"/>
    </format>
    <format dxfId="272">
      <pivotArea outline="0" collapsedLevelsAreSubtotals="1" fieldPosition="0"/>
    </format>
  </formats>
  <chartFormats count="5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Dinámica15" cacheId="21" dataOnRows="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1">
  <location ref="B40:C50" firstHeaderRow="1" firstDataRow="1" firstDataCol="1" rowPageCount="1" colPageCount="1"/>
  <pivotFields count="11">
    <pivotField axis="axisPage" multipleItemSelectionAllowed="1" showAll="0">
      <items count="7">
        <item x="4"/>
        <item h="1" x="2"/>
        <item h="1" x="0"/>
        <item h="1" x="5"/>
        <item h="1" x="1"/>
        <item h="1" x="3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pageFields count="1">
    <pageField fld="0" hier="-1"/>
  </pageFields>
  <dataFields count="10">
    <dataField name=" 2016" fld="1" baseField="0" baseItem="0"/>
    <dataField name=" 2017" fld="2" baseField="0" baseItem="0"/>
    <dataField name=" 2018" fld="3" baseField="0" baseItem="0"/>
    <dataField name=" 2019" fld="4" baseField="0" baseItem="0"/>
    <dataField name=" 2020" fld="5" baseField="0" baseItem="0"/>
    <dataField name=" 2021" fld="6" baseField="0" baseItem="0"/>
    <dataField name=" 2022" fld="7" baseField="0" baseItem="0"/>
    <dataField name=" 2023" fld="8" baseField="0" baseItem="0"/>
    <dataField name=" 2024" fld="9" baseField="0" baseItem="0"/>
    <dataField name=" 2025" fld="10" baseField="0" baseItem="0"/>
  </dataFields>
  <formats count="6">
    <format dxfId="271">
      <pivotArea outline="0" collapsedLevelsAreSubtotals="1" fieldPosition="0"/>
    </format>
    <format dxfId="270">
      <pivotArea outline="0" collapsedLevelsAreSubtotals="1" fieldPosition="0"/>
    </format>
    <format dxfId="269">
      <pivotArea outline="0" collapsedLevelsAreSubtotals="1" fieldPosition="0"/>
    </format>
    <format dxfId="268">
      <pivotArea outline="0" collapsedLevelsAreSubtotals="1" fieldPosition="0"/>
    </format>
    <format dxfId="267">
      <pivotArea outline="0" collapsedLevelsAreSubtotals="1" fieldPosition="0"/>
    </format>
    <format dxfId="266">
      <pivotArea outline="0" collapsedLevelsAreSubtotals="1" fieldPosition="0"/>
    </format>
  </formats>
  <chartFormats count="2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Dinámica1" cacheId="0" dataOnRows="1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2">
  <location ref="A23:C32" firstHeaderRow="1" firstDataRow="2" firstDataCol="1" rowPageCount="1" colPageCount="1"/>
  <pivotFields count="30">
    <pivotField axis="axisPage" showAll="0">
      <items count="10">
        <item x="5"/>
        <item x="6"/>
        <item x="3"/>
        <item x="1"/>
        <item x="8"/>
        <item x="7"/>
        <item x="0"/>
        <item x="2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Fields count="1">
    <field x="1"/>
  </colFields>
  <colItems count="2">
    <i>
      <x/>
    </i>
    <i>
      <x v="1"/>
    </i>
  </colItems>
  <pageFields count="1">
    <pageField fld="0" item="8" hier="-1"/>
  </pageFields>
  <dataFields count="8">
    <dataField name="2015" fld="22" baseField="0" baseItem="8"/>
    <dataField name="2016" fld="23" baseField="0" baseItem="0"/>
    <dataField name="2017" fld="24" baseField="0" baseItem="0"/>
    <dataField name="2018" fld="25" baseField="0" baseItem="0"/>
    <dataField name="2019" fld="26" baseField="0" baseItem="0"/>
    <dataField name="2020" fld="27" baseField="0" baseItem="0"/>
    <dataField name="2021" fld="28" baseField="0" baseItem="0"/>
    <dataField name="2022" fld="29" baseField="0" baseItem="0"/>
  </dataFields>
  <formats count="2">
    <format dxfId="265">
      <pivotArea outline="0" collapsedLevelsAreSubtotals="1" fieldPosition="0"/>
    </format>
    <format dxfId="264">
      <pivotArea outline="0" collapsedLevelsAreSubtotals="1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" sourceName="Función">
  <pivotTables>
    <pivotTable tabId="5" name="TablaDinámica1"/>
  </pivotTables>
  <data>
    <tabular pivotCacheId="1986425959">
      <items count="9">
        <i x="2"/>
        <i x="4"/>
        <i x="7"/>
        <i x="5"/>
        <i x="1"/>
        <i x="8"/>
        <i x="6"/>
        <i x="0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1" sourceName="Función">
  <pivotTables>
    <pivotTable tabId="6" name="TablaDinámica2"/>
  </pivotTables>
  <data>
    <tabular pivotCacheId="1986425961">
      <items count="8">
        <i x="2" s="1"/>
        <i x="4"/>
        <i x="7"/>
        <i x="5"/>
        <i x="1"/>
        <i x="6"/>
        <i x="0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2" sourceName="Función">
  <pivotTables>
    <pivotTable tabId="15" name="TablaDinámica12"/>
  </pivotTables>
  <data>
    <tabular pivotCacheId="1986425962">
      <items count="6">
        <i x="4"/>
        <i x="2"/>
        <i x="0"/>
        <i x="5"/>
        <i x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3" sourceName="Función">
  <pivotTables>
    <pivotTable tabId="16" name="TablaDinámica15"/>
  </pivotTables>
  <data>
    <tabular pivotCacheId="1986425964">
      <items count="6">
        <i x="4" s="1"/>
        <i x="2"/>
        <i x="0"/>
        <i x="5"/>
        <i x="1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4" sourceName="Función">
  <pivotTables>
    <pivotTable tabId="18" name="TablaDinámica1"/>
  </pivotTables>
  <data>
    <tabular pivotCacheId="7">
      <items count="9">
        <i x="5"/>
        <i x="6"/>
        <i x="3"/>
        <i x="1"/>
        <i x="8"/>
        <i x="7"/>
        <i x="0"/>
        <i x="2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5" sourceName="Función">
  <pivotTables>
    <pivotTable tabId="20" name="TablaDinámica2"/>
  </pivotTables>
  <data>
    <tabular pivotCacheId="1986425960">
      <items count="8">
        <i x="2" s="1"/>
        <i x="4"/>
        <i x="7"/>
        <i x="5"/>
        <i x="1"/>
        <i x="6"/>
        <i x="0"/>
        <i x="3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unción31" sourceName="Función">
  <pivotTables>
    <pivotTable tabId="22" name="TablaDinámica15"/>
  </pivotTables>
  <data>
    <tabular pivotCacheId="1986425963">
      <items count="6">
        <i x="4" s="1"/>
        <i x="2"/>
        <i x="0"/>
        <i x="5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" cache="SegmentaciónDeDatos_Función" caption="Función" startItem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 5" cache="SegmentaciónDeDatos_Función5" caption="Función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 1" cache="SegmentaciónDeDatos_Función1" caption="Función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 2" cache="SegmentaciónDeDatos_Función2" caption="Función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 6" cache="SegmentaciónDeDatos_Función31" caption="Función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 3" cache="SegmentaciónDeDatos_Función3" caption="Función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unción 4" cache="SegmentaciónDeDatos_Función4" caption="Función" startItem="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baseColWidth="10" defaultRowHeight="12.75" x14ac:dyDescent="0.25"/>
  <cols>
    <col min="1" max="1" width="137.7109375" style="16" bestFit="1" customWidth="1"/>
    <col min="2" max="16384" width="11.42578125" style="16"/>
  </cols>
  <sheetData>
    <row r="1" spans="1:2" x14ac:dyDescent="0.25">
      <c r="A1" s="15" t="s">
        <v>0</v>
      </c>
    </row>
    <row r="2" spans="1:2" x14ac:dyDescent="0.25">
      <c r="A2" s="17"/>
    </row>
    <row r="3" spans="1:2" x14ac:dyDescent="0.25">
      <c r="A3" s="18" t="s">
        <v>95</v>
      </c>
    </row>
    <row r="4" spans="1:2" x14ac:dyDescent="0.25">
      <c r="A4" s="18" t="s">
        <v>33</v>
      </c>
    </row>
    <row r="5" spans="1:2" x14ac:dyDescent="0.25">
      <c r="A5" s="37" t="s">
        <v>73</v>
      </c>
      <c r="B5" s="38"/>
    </row>
    <row r="6" spans="1:2" x14ac:dyDescent="0.25">
      <c r="A6" s="18" t="s">
        <v>72</v>
      </c>
    </row>
    <row r="7" spans="1:2" x14ac:dyDescent="0.25">
      <c r="A7" s="18" t="s">
        <v>96</v>
      </c>
    </row>
    <row r="8" spans="1:2" x14ac:dyDescent="0.25">
      <c r="A8" s="18" t="s">
        <v>74</v>
      </c>
    </row>
    <row r="9" spans="1:2" x14ac:dyDescent="0.25">
      <c r="A9" s="18" t="s">
        <v>75</v>
      </c>
    </row>
    <row r="10" spans="1:2" x14ac:dyDescent="0.25">
      <c r="A10" s="18" t="s">
        <v>97</v>
      </c>
    </row>
    <row r="11" spans="1:2" x14ac:dyDescent="0.25">
      <c r="A11" s="18" t="s">
        <v>98</v>
      </c>
    </row>
    <row r="12" spans="1:2" x14ac:dyDescent="0.25">
      <c r="A12" s="18" t="s">
        <v>76</v>
      </c>
    </row>
    <row r="13" spans="1:2" x14ac:dyDescent="0.25">
      <c r="A13" s="18" t="s">
        <v>100</v>
      </c>
    </row>
    <row r="14" spans="1:2" x14ac:dyDescent="0.25">
      <c r="A14" s="18" t="s">
        <v>101</v>
      </c>
    </row>
    <row r="15" spans="1:2" x14ac:dyDescent="0.25">
      <c r="A15" s="17"/>
    </row>
  </sheetData>
  <hyperlinks>
    <hyperlink ref="A3" location="'serie 1'!A1" display="Serie 1 - Inversión Pública Total de la Administración Nacional (Base Devengado). % del Producto Bruto Interno. "/>
    <hyperlink ref="A4" location="'serie 2'!A1" display="Serie 2 -  Inversión Pública Total de la Administración Nacional (Base Devengado). Evolución en términos reales. ÍNDICE: 2015=100,0."/>
    <hyperlink ref="A5" location="'serie 3'!A1" display="Serie 3 - Inversión Pública Total de la Administración Nacional (Base Devengado). Evolución en términos reales. ÍNDICE: MAYO 2015=100,0."/>
    <hyperlink ref="A6" location="'serie 4'!A1" display="Serie 4 - Inversión Pública de la Administración Nacional (Base Devengado). Por Finalidad-Función. % del Producto Bruto Interno."/>
    <hyperlink ref="A7" location="'serie 5'!A1" display="Serie 5 - Gastos de Capital del Sector Público Nacional. Base caja en % del Producto Bruto Interno."/>
    <hyperlink ref="A8" location="'serie 6'!A1" display="Serie 6 - Gastos de Capital del Sector Publico Nacional. Base caja en índice (2015=100,0)"/>
    <hyperlink ref="A9" location="'serie 7'!A1" display="Serie 7 - Gastos de Capital del Sector Público Nacional. Base caja por función en % del Producto Bruto Interno."/>
    <hyperlink ref="A10" location="'serie 8'!A1" display="Serie 8 - Gastos de Capital del Sector Público Nacional. Base caja por función en índice (2016=100,0)."/>
    <hyperlink ref="A11" location="'serie 9'!A1" display="Serie 9 - Gastos de Capital del Sector Publico Nacional. Base caja en índice (2015=100,0)"/>
    <hyperlink ref="A12" location="'serie 10'!A1" display="Serie 10 - Gastos de Capital del Sector Público Nacional. Base caja por función en % del Producto Bruto Interno"/>
    <hyperlink ref="A13" location="'serie 11'!A1" display="Serie 11 - Gastos de Capital del Sector Público Nacional. Base caja por función en índice (1°Cuatrimestre 2016=100,0)"/>
    <hyperlink ref="A14" location="'serie 12'!A1" display="Serie 12 - Gastos de Capital del Sector Público Nacional. Base caja por función en índice (2016=100,0)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workbookViewId="0">
      <pane xSplit="1" topLeftCell="B1" activePane="topRight" state="frozen"/>
      <selection pane="topRight" activeCell="A4" sqref="A4"/>
    </sheetView>
  </sheetViews>
  <sheetFormatPr baseColWidth="10" defaultRowHeight="15" x14ac:dyDescent="0.25"/>
  <cols>
    <col min="1" max="1" width="24.42578125" style="11" customWidth="1"/>
    <col min="2" max="28" width="8.28515625" style="11" customWidth="1"/>
    <col min="29" max="16384" width="11.42578125" style="11"/>
  </cols>
  <sheetData>
    <row r="1" spans="1:33" x14ac:dyDescent="0.25">
      <c r="A1" s="53">
        <v>46053</v>
      </c>
    </row>
    <row r="2" spans="1:33" s="22" customFormat="1" ht="15" customHeight="1" x14ac:dyDescent="0.2">
      <c r="A2" s="21" t="s">
        <v>67</v>
      </c>
    </row>
    <row r="3" spans="1:33" s="22" customFormat="1" ht="15" customHeight="1" x14ac:dyDescent="0.2">
      <c r="A3" s="19" t="s">
        <v>77</v>
      </c>
    </row>
    <row r="4" spans="1:33" ht="15" customHeight="1" x14ac:dyDescent="0.25">
      <c r="A4" s="24" t="s">
        <v>13</v>
      </c>
      <c r="B4" s="20"/>
      <c r="C4" s="20"/>
    </row>
    <row r="5" spans="1:33" ht="15" customHeight="1" x14ac:dyDescent="0.25">
      <c r="A5" s="23"/>
      <c r="B5" s="20"/>
      <c r="C5" s="20"/>
    </row>
    <row r="6" spans="1:33" x14ac:dyDescent="0.25">
      <c r="A6" s="1" t="s">
        <v>26</v>
      </c>
      <c r="B6" s="6">
        <v>1995</v>
      </c>
      <c r="C6" s="6">
        <v>1996</v>
      </c>
      <c r="D6" s="6">
        <v>1997</v>
      </c>
      <c r="E6" s="6">
        <v>1998</v>
      </c>
      <c r="F6" s="6">
        <v>1999</v>
      </c>
      <c r="G6" s="6">
        <v>2000</v>
      </c>
      <c r="H6" s="6">
        <v>2001</v>
      </c>
      <c r="I6" s="6">
        <v>2002</v>
      </c>
      <c r="J6" s="6">
        <v>2003</v>
      </c>
      <c r="K6" s="6">
        <v>2004</v>
      </c>
      <c r="L6" s="6">
        <v>2005</v>
      </c>
      <c r="M6" s="6">
        <v>2006</v>
      </c>
      <c r="N6" s="6">
        <v>2007</v>
      </c>
      <c r="O6" s="6">
        <v>2008</v>
      </c>
      <c r="P6" s="6">
        <v>2009</v>
      </c>
      <c r="Q6" s="6">
        <v>2010</v>
      </c>
      <c r="R6" s="6">
        <v>2011</v>
      </c>
      <c r="S6" s="6">
        <v>2012</v>
      </c>
      <c r="T6" s="6">
        <v>2013</v>
      </c>
      <c r="U6" s="6">
        <v>2014</v>
      </c>
      <c r="V6" s="7">
        <v>2015</v>
      </c>
      <c r="W6" s="7">
        <v>2016</v>
      </c>
      <c r="X6" s="7">
        <v>2017</v>
      </c>
      <c r="Y6" s="7">
        <v>2018</v>
      </c>
      <c r="Z6" s="7">
        <v>2019</v>
      </c>
      <c r="AA6" s="7">
        <v>2020</v>
      </c>
      <c r="AB6" s="8">
        <v>2021</v>
      </c>
      <c r="AC6" s="7">
        <v>2022</v>
      </c>
      <c r="AD6" s="8">
        <v>2023</v>
      </c>
      <c r="AE6" s="7">
        <v>2024</v>
      </c>
      <c r="AF6" s="8">
        <v>2025</v>
      </c>
      <c r="AG6" s="54">
        <v>2026</v>
      </c>
    </row>
    <row r="7" spans="1:33" ht="22.5" x14ac:dyDescent="0.25">
      <c r="A7" s="42" t="s">
        <v>16</v>
      </c>
      <c r="B7" s="9">
        <v>8.7142488823130719</v>
      </c>
      <c r="C7" s="9">
        <v>8.8605766510352755</v>
      </c>
      <c r="D7" s="9">
        <v>7.7195530267336139</v>
      </c>
      <c r="E7" s="9">
        <v>29.237913798642733</v>
      </c>
      <c r="F7" s="9">
        <v>32.813704063375297</v>
      </c>
      <c r="G7" s="9">
        <v>2.3998630894279831</v>
      </c>
      <c r="H7" s="9">
        <v>5.6506004894939208</v>
      </c>
      <c r="I7" s="9">
        <v>0.42916422085206357</v>
      </c>
      <c r="J7" s="9">
        <v>0.76431463162432178</v>
      </c>
      <c r="K7" s="9">
        <v>3.4804200366008278</v>
      </c>
      <c r="L7" s="9">
        <v>14.730146509957917</v>
      </c>
      <c r="M7" s="9">
        <v>71.236768859937825</v>
      </c>
      <c r="N7" s="9">
        <v>71.822025569163984</v>
      </c>
      <c r="O7" s="9">
        <v>107.91932613502719</v>
      </c>
      <c r="P7" s="9">
        <v>78.257772099883425</v>
      </c>
      <c r="Q7" s="9">
        <v>16.619558485629316</v>
      </c>
      <c r="R7" s="9">
        <v>28.909209887712549</v>
      </c>
      <c r="S7" s="9">
        <v>17.354094704020511</v>
      </c>
      <c r="T7" s="9">
        <v>111.83801250620523</v>
      </c>
      <c r="U7" s="9">
        <v>111.37201323181633</v>
      </c>
      <c r="V7" s="9">
        <v>100</v>
      </c>
      <c r="W7" s="9">
        <v>18.76773303738911</v>
      </c>
      <c r="X7" s="9">
        <v>78.727777633927218</v>
      </c>
      <c r="Y7" s="9">
        <v>137.25074395828102</v>
      </c>
      <c r="Z7" s="9">
        <v>52.79277699334164</v>
      </c>
      <c r="AA7" s="9">
        <v>13.031523638279651</v>
      </c>
      <c r="AB7" s="9">
        <v>75.354861700707858</v>
      </c>
      <c r="AC7" s="9">
        <v>120.7562467641561</v>
      </c>
      <c r="AD7" s="9">
        <v>58.23556064748032</v>
      </c>
      <c r="AE7" s="9">
        <v>14.388874761246164</v>
      </c>
      <c r="AF7" s="9">
        <v>2.1673809643273234</v>
      </c>
      <c r="AG7" s="55">
        <v>0.68464663011432991</v>
      </c>
    </row>
    <row r="9" spans="1:33" x14ac:dyDescent="0.25">
      <c r="A9" s="60" t="s">
        <v>89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workbookViewId="0">
      <pane xSplit="1" topLeftCell="B1" activePane="topRight" state="frozen"/>
      <selection pane="topRight"/>
    </sheetView>
  </sheetViews>
  <sheetFormatPr baseColWidth="10" defaultRowHeight="15" x14ac:dyDescent="0.25"/>
  <cols>
    <col min="1" max="1" width="22.7109375" style="11" customWidth="1"/>
    <col min="2" max="28" width="8.28515625" style="11" customWidth="1"/>
    <col min="29" max="16384" width="11.42578125" style="11"/>
  </cols>
  <sheetData>
    <row r="1" spans="1:32" x14ac:dyDescent="0.25">
      <c r="A1" s="53">
        <v>46053</v>
      </c>
    </row>
    <row r="2" spans="1:32" s="22" customFormat="1" ht="15" customHeight="1" x14ac:dyDescent="0.2">
      <c r="A2" s="21" t="s">
        <v>14</v>
      </c>
    </row>
    <row r="3" spans="1:32" s="22" customFormat="1" ht="15" customHeight="1" x14ac:dyDescent="0.2">
      <c r="A3" s="19" t="s">
        <v>31</v>
      </c>
    </row>
    <row r="4" spans="1:32" ht="15" customHeight="1" x14ac:dyDescent="0.25">
      <c r="A4" s="24" t="s">
        <v>13</v>
      </c>
      <c r="B4" s="20"/>
      <c r="C4" s="20"/>
    </row>
    <row r="5" spans="1:32" ht="15" customHeight="1" x14ac:dyDescent="0.25">
      <c r="A5" s="23"/>
      <c r="B5" s="20"/>
      <c r="C5" s="20"/>
    </row>
    <row r="6" spans="1:32" x14ac:dyDescent="0.25">
      <c r="A6" s="1" t="s">
        <v>26</v>
      </c>
      <c r="B6" s="6">
        <v>1995</v>
      </c>
      <c r="C6" s="6">
        <v>1996</v>
      </c>
      <c r="D6" s="6">
        <v>1997</v>
      </c>
      <c r="E6" s="6">
        <v>1998</v>
      </c>
      <c r="F6" s="6">
        <v>1999</v>
      </c>
      <c r="G6" s="6">
        <v>2000</v>
      </c>
      <c r="H6" s="6">
        <v>2001</v>
      </c>
      <c r="I6" s="6">
        <v>2002</v>
      </c>
      <c r="J6" s="6">
        <v>2003</v>
      </c>
      <c r="K6" s="6">
        <v>2004</v>
      </c>
      <c r="L6" s="6">
        <v>2005</v>
      </c>
      <c r="M6" s="6">
        <v>2006</v>
      </c>
      <c r="N6" s="6">
        <v>2007</v>
      </c>
      <c r="O6" s="6">
        <v>2008</v>
      </c>
      <c r="P6" s="6">
        <v>2009</v>
      </c>
      <c r="Q6" s="6">
        <v>2010</v>
      </c>
      <c r="R6" s="6">
        <v>2011</v>
      </c>
      <c r="S6" s="6">
        <v>2012</v>
      </c>
      <c r="T6" s="6">
        <v>2013</v>
      </c>
      <c r="U6" s="6">
        <v>2014</v>
      </c>
      <c r="V6" s="7">
        <v>2015</v>
      </c>
      <c r="W6" s="7">
        <v>2016</v>
      </c>
      <c r="X6" s="7">
        <v>2017</v>
      </c>
      <c r="Y6" s="7">
        <v>2018</v>
      </c>
      <c r="Z6" s="7">
        <v>2019</v>
      </c>
      <c r="AA6" s="7">
        <v>2020</v>
      </c>
      <c r="AB6" s="8">
        <v>2021</v>
      </c>
      <c r="AC6" s="7">
        <v>2022</v>
      </c>
      <c r="AD6" s="8">
        <v>2023</v>
      </c>
      <c r="AE6" s="7">
        <v>2024</v>
      </c>
      <c r="AF6" s="56">
        <v>2025</v>
      </c>
    </row>
    <row r="7" spans="1:32" ht="22.5" x14ac:dyDescent="0.25">
      <c r="A7" s="42" t="s">
        <v>16</v>
      </c>
      <c r="B7" s="9">
        <v>25.033295959339419</v>
      </c>
      <c r="C7" s="9">
        <v>27.034951859551668</v>
      </c>
      <c r="D7" s="9">
        <v>27.84788519344923</v>
      </c>
      <c r="E7" s="9">
        <v>28.467837091794053</v>
      </c>
      <c r="F7" s="9">
        <v>23.822401835944881</v>
      </c>
      <c r="G7" s="9">
        <v>22.478770025271</v>
      </c>
      <c r="H7" s="9">
        <v>18.390307411554158</v>
      </c>
      <c r="I7" s="9">
        <v>12.674484793310302</v>
      </c>
      <c r="J7" s="9">
        <v>15.989717912724569</v>
      </c>
      <c r="K7" s="9">
        <v>24.336773703852131</v>
      </c>
      <c r="L7" s="9">
        <v>43.124723048225242</v>
      </c>
      <c r="M7" s="9">
        <v>60.383545206939374</v>
      </c>
      <c r="N7" s="9">
        <v>58.089399960265112</v>
      </c>
      <c r="O7" s="9">
        <v>66.100075464644107</v>
      </c>
      <c r="P7" s="9">
        <v>77.422945248895687</v>
      </c>
      <c r="Q7" s="9">
        <v>91.317223489692751</v>
      </c>
      <c r="R7" s="9">
        <v>93.986280107428172</v>
      </c>
      <c r="S7" s="9">
        <v>91.048173758763497</v>
      </c>
      <c r="T7" s="9">
        <v>110.50019482783969</v>
      </c>
      <c r="U7" s="9">
        <v>125.42416034278287</v>
      </c>
      <c r="V7" s="9">
        <v>100</v>
      </c>
      <c r="W7" s="9">
        <v>73.066461161694747</v>
      </c>
      <c r="X7" s="9">
        <v>76.973217614384126</v>
      </c>
      <c r="Y7" s="9">
        <v>60.300479631076584</v>
      </c>
      <c r="Z7" s="9">
        <v>35.448342431507008</v>
      </c>
      <c r="AA7" s="9">
        <v>36.87112131868524</v>
      </c>
      <c r="AB7" s="9">
        <v>93.826565559497098</v>
      </c>
      <c r="AC7" s="9">
        <v>57.52891915666676</v>
      </c>
      <c r="AD7" s="9">
        <v>53.104267531324503</v>
      </c>
      <c r="AE7" s="9">
        <v>13.23366373254721</v>
      </c>
      <c r="AF7" s="55">
        <v>9.6564807414339224</v>
      </c>
    </row>
    <row r="9" spans="1:32" x14ac:dyDescent="0.25">
      <c r="A9" s="60" t="s">
        <v>89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>
      <pane xSplit="1" topLeftCell="B1" activePane="topRight" state="frozen"/>
      <selection pane="topRight"/>
    </sheetView>
  </sheetViews>
  <sheetFormatPr baseColWidth="10" defaultRowHeight="15" x14ac:dyDescent="0.25"/>
  <cols>
    <col min="1" max="1" width="22.7109375" style="11" customWidth="1"/>
    <col min="2" max="28" width="8.28515625" style="11" customWidth="1"/>
    <col min="29" max="16384" width="11.42578125" style="11"/>
  </cols>
  <sheetData>
    <row r="1" spans="1:33" x14ac:dyDescent="0.25">
      <c r="A1" s="53">
        <v>46053</v>
      </c>
    </row>
    <row r="2" spans="1:33" s="12" customFormat="1" ht="15" customHeight="1" x14ac:dyDescent="0.25">
      <c r="A2" s="21" t="s">
        <v>17</v>
      </c>
    </row>
    <row r="3" spans="1:33" s="19" customFormat="1" ht="15" customHeight="1" x14ac:dyDescent="0.25">
      <c r="A3" s="19" t="s">
        <v>15</v>
      </c>
    </row>
    <row r="4" spans="1:33" s="12" customFormat="1" ht="15" customHeight="1" x14ac:dyDescent="0.25">
      <c r="A4" s="18" t="s">
        <v>13</v>
      </c>
      <c r="B4" s="18"/>
      <c r="C4" s="18"/>
    </row>
    <row r="5" spans="1:33" s="12" customFormat="1" ht="15" customHeight="1" x14ac:dyDescent="0.25">
      <c r="A5" s="18"/>
      <c r="B5" s="18"/>
      <c r="C5" s="18"/>
    </row>
    <row r="6" spans="1:33" x14ac:dyDescent="0.25">
      <c r="A6" s="1" t="s">
        <v>26</v>
      </c>
      <c r="B6" s="1">
        <v>1995</v>
      </c>
      <c r="C6" s="1">
        <v>1996</v>
      </c>
      <c r="D6" s="1">
        <v>1997</v>
      </c>
      <c r="E6" s="1">
        <v>1998</v>
      </c>
      <c r="F6" s="1">
        <v>1999</v>
      </c>
      <c r="G6" s="1">
        <v>2000</v>
      </c>
      <c r="H6" s="1">
        <v>2001</v>
      </c>
      <c r="I6" s="1">
        <v>2002</v>
      </c>
      <c r="J6" s="1">
        <v>2003</v>
      </c>
      <c r="K6" s="1">
        <v>2004</v>
      </c>
      <c r="L6" s="1">
        <v>2005</v>
      </c>
      <c r="M6" s="1">
        <v>2006</v>
      </c>
      <c r="N6" s="1">
        <v>2007</v>
      </c>
      <c r="O6" s="1">
        <v>2008</v>
      </c>
      <c r="P6" s="1">
        <v>2009</v>
      </c>
      <c r="Q6" s="1">
        <v>2010</v>
      </c>
      <c r="R6" s="1">
        <v>2011</v>
      </c>
      <c r="S6" s="1">
        <v>2012</v>
      </c>
      <c r="T6" s="1">
        <v>2013</v>
      </c>
      <c r="U6" s="1">
        <v>2014</v>
      </c>
      <c r="V6" s="2">
        <v>2015</v>
      </c>
      <c r="W6" s="2">
        <v>2016</v>
      </c>
      <c r="X6" s="2">
        <v>2017</v>
      </c>
      <c r="Y6" s="2">
        <v>2018</v>
      </c>
      <c r="Z6" s="2">
        <v>2019</v>
      </c>
      <c r="AA6" s="2">
        <v>2020</v>
      </c>
      <c r="AB6" s="3">
        <v>2021</v>
      </c>
      <c r="AC6" s="2">
        <v>2022</v>
      </c>
      <c r="AD6" s="3">
        <v>2023</v>
      </c>
      <c r="AE6" s="2">
        <v>2024</v>
      </c>
      <c r="AF6" s="2" t="s">
        <v>64</v>
      </c>
      <c r="AG6" s="57" t="s">
        <v>78</v>
      </c>
    </row>
    <row r="7" spans="1:33" ht="22.5" x14ac:dyDescent="0.25">
      <c r="A7" s="42" t="s">
        <v>16</v>
      </c>
      <c r="B7" s="9">
        <v>1.30838759616883</v>
      </c>
      <c r="C7" s="9">
        <v>1.3414380571380995</v>
      </c>
      <c r="D7" s="9">
        <v>1.29064178276923</v>
      </c>
      <c r="E7" s="9">
        <v>1.3049702240179542</v>
      </c>
      <c r="F7" s="9">
        <v>1.1350596062499616</v>
      </c>
      <c r="G7" s="9">
        <v>1.0590489380787176</v>
      </c>
      <c r="H7" s="9">
        <v>0.90797852819262281</v>
      </c>
      <c r="I7" s="9">
        <v>0.69899461710203348</v>
      </c>
      <c r="J7" s="9">
        <v>0.80829411450143185</v>
      </c>
      <c r="K7" s="9">
        <v>1.0004246025077863</v>
      </c>
      <c r="L7" s="9">
        <v>1.6293153230409831</v>
      </c>
      <c r="M7" s="9">
        <v>2.0482638685820671</v>
      </c>
      <c r="N7" s="9">
        <v>1.7990923974242046</v>
      </c>
      <c r="O7" s="9">
        <v>1.9532948280474631</v>
      </c>
      <c r="P7" s="9">
        <v>2.4019421666638534</v>
      </c>
      <c r="Q7" s="9">
        <v>2.6603103619557062</v>
      </c>
      <c r="R7" s="9">
        <v>2.5613843778401453</v>
      </c>
      <c r="S7" s="9">
        <v>2.5235274376204928</v>
      </c>
      <c r="T7" s="9">
        <v>3.0366194780345053</v>
      </c>
      <c r="U7" s="9">
        <v>3.498835066454141</v>
      </c>
      <c r="V7" s="9">
        <v>2.646170016574795</v>
      </c>
      <c r="W7" s="9">
        <v>1.9668959060621918</v>
      </c>
      <c r="X7" s="9">
        <v>1.9557164594534908</v>
      </c>
      <c r="Y7" s="9">
        <v>1.4877098817687009</v>
      </c>
      <c r="Z7" s="9">
        <v>0.92729770545154466</v>
      </c>
      <c r="AA7" s="9">
        <v>1.1048373411378882</v>
      </c>
      <c r="AB7" s="9">
        <v>2.5266011003375572</v>
      </c>
      <c r="AC7" s="9">
        <v>1.4230636365566862</v>
      </c>
      <c r="AD7" s="9">
        <v>1.2919545041233538</v>
      </c>
      <c r="AE7" s="9">
        <v>0.35916144063331956</v>
      </c>
      <c r="AF7" s="9">
        <v>0.24646094578095004</v>
      </c>
      <c r="AG7" s="55">
        <v>0.28901780991162701</v>
      </c>
    </row>
    <row r="9" spans="1:33" x14ac:dyDescent="0.25">
      <c r="A9" s="60" t="s">
        <v>90</v>
      </c>
    </row>
    <row r="10" spans="1:33" x14ac:dyDescent="0.25">
      <c r="A10" s="60" t="s">
        <v>79</v>
      </c>
    </row>
    <row r="11" spans="1:33" x14ac:dyDescent="0.25">
      <c r="A11" s="60" t="s">
        <v>80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9"/>
  <sheetViews>
    <sheetView showGridLines="0" workbookViewId="0">
      <pane xSplit="1" topLeftCell="S1" activePane="topRight" state="frozen"/>
      <selection pane="topRight"/>
    </sheetView>
  </sheetViews>
  <sheetFormatPr baseColWidth="10" defaultRowHeight="15" customHeight="1" x14ac:dyDescent="0.25"/>
  <cols>
    <col min="1" max="1" width="31.28515625" style="25" customWidth="1"/>
    <col min="2" max="28" width="8.28515625" style="25" customWidth="1"/>
    <col min="29" max="32" width="11.42578125" style="25"/>
    <col min="33" max="33" width="11.28515625" style="25" customWidth="1"/>
    <col min="34" max="34" width="13" style="25" bestFit="1" customWidth="1"/>
    <col min="35" max="16384" width="11.42578125" style="25"/>
  </cols>
  <sheetData>
    <row r="1" spans="1:34" ht="15" customHeight="1" x14ac:dyDescent="0.2">
      <c r="A1" s="53">
        <v>46053</v>
      </c>
    </row>
    <row r="2" spans="1:34" ht="15" customHeight="1" x14ac:dyDescent="0.25">
      <c r="A2" s="21" t="s">
        <v>20</v>
      </c>
    </row>
    <row r="3" spans="1:34" ht="15" customHeight="1" x14ac:dyDescent="0.25">
      <c r="A3" s="19" t="s">
        <v>19</v>
      </c>
    </row>
    <row r="4" spans="1:34" ht="15" customHeight="1" x14ac:dyDescent="0.25">
      <c r="A4" s="26" t="s">
        <v>13</v>
      </c>
      <c r="B4" s="27"/>
      <c r="C4" s="27"/>
    </row>
    <row r="5" spans="1:34" ht="15" customHeight="1" x14ac:dyDescent="0.25">
      <c r="AH5"/>
    </row>
    <row r="6" spans="1:34" s="28" customFormat="1" ht="15" customHeight="1" x14ac:dyDescent="0.25">
      <c r="A6" s="1" t="s">
        <v>18</v>
      </c>
      <c r="B6" s="6">
        <v>1995</v>
      </c>
      <c r="C6" s="6">
        <v>1996</v>
      </c>
      <c r="D6" s="6">
        <v>1997</v>
      </c>
      <c r="E6" s="6">
        <v>1998</v>
      </c>
      <c r="F6" s="6">
        <v>1999</v>
      </c>
      <c r="G6" s="6">
        <v>2000</v>
      </c>
      <c r="H6" s="6">
        <v>2001</v>
      </c>
      <c r="I6" s="6">
        <v>2002</v>
      </c>
      <c r="J6" s="6">
        <v>2003</v>
      </c>
      <c r="K6" s="6">
        <v>2004</v>
      </c>
      <c r="L6" s="6">
        <v>2005</v>
      </c>
      <c r="M6" s="6">
        <v>2006</v>
      </c>
      <c r="N6" s="6">
        <v>2007</v>
      </c>
      <c r="O6" s="6">
        <v>2008</v>
      </c>
      <c r="P6" s="6">
        <v>2009</v>
      </c>
      <c r="Q6" s="6">
        <v>2010</v>
      </c>
      <c r="R6" s="6">
        <v>2011</v>
      </c>
      <c r="S6" s="6">
        <v>2012</v>
      </c>
      <c r="T6" s="6">
        <v>2013</v>
      </c>
      <c r="U6" s="6">
        <v>2014</v>
      </c>
      <c r="V6" s="7">
        <v>2015</v>
      </c>
      <c r="W6" s="7">
        <v>2016</v>
      </c>
      <c r="X6" s="7">
        <v>2017</v>
      </c>
      <c r="Y6" s="7">
        <v>2018</v>
      </c>
      <c r="Z6" s="7">
        <v>2019</v>
      </c>
      <c r="AA6" s="7">
        <v>2020</v>
      </c>
      <c r="AB6" s="8">
        <v>2021</v>
      </c>
      <c r="AC6" s="7">
        <v>2022</v>
      </c>
      <c r="AD6" s="8">
        <v>2023</v>
      </c>
      <c r="AE6" s="7">
        <v>2024</v>
      </c>
      <c r="AF6" s="7" t="s">
        <v>64</v>
      </c>
      <c r="AG6" s="56" t="s">
        <v>78</v>
      </c>
      <c r="AH6"/>
    </row>
    <row r="7" spans="1:34" s="28" customFormat="1" ht="15" customHeight="1" x14ac:dyDescent="0.25">
      <c r="A7" s="4" t="s">
        <v>1</v>
      </c>
      <c r="B7" s="10">
        <v>0.35597355522993684</v>
      </c>
      <c r="C7" s="10">
        <v>0.39904048393061231</v>
      </c>
      <c r="D7" s="10">
        <v>0.4166912904058091</v>
      </c>
      <c r="E7" s="10">
        <v>0.43732322267297263</v>
      </c>
      <c r="F7" s="10">
        <v>0.39241445113698348</v>
      </c>
      <c r="G7" s="10">
        <v>0.34907406094304033</v>
      </c>
      <c r="H7" s="10">
        <v>0.27976570835571452</v>
      </c>
      <c r="I7" s="10">
        <v>0.20302028652876025</v>
      </c>
      <c r="J7" s="10">
        <v>0.25478329354448637</v>
      </c>
      <c r="K7" s="10">
        <v>0.37472156822286384</v>
      </c>
      <c r="L7" s="10">
        <v>0.54752763884426836</v>
      </c>
      <c r="M7" s="10">
        <v>0.73543386286670576</v>
      </c>
      <c r="N7" s="10">
        <v>0.74098485126464009</v>
      </c>
      <c r="O7" s="10">
        <v>0.74568933599625387</v>
      </c>
      <c r="P7" s="10">
        <v>0.78553233038955161</v>
      </c>
      <c r="Q7" s="10">
        <v>0.77617834001749486</v>
      </c>
      <c r="R7" s="10">
        <v>0.76066815369879714</v>
      </c>
      <c r="S7" s="10">
        <v>0.62735497202172996</v>
      </c>
      <c r="T7" s="10">
        <v>0.89055051581455791</v>
      </c>
      <c r="U7" s="10">
        <v>0.75337875032988477</v>
      </c>
      <c r="V7" s="10">
        <v>0.56842692753851343</v>
      </c>
      <c r="W7" s="10">
        <v>0.56119946678024246</v>
      </c>
      <c r="X7" s="10">
        <v>0.68727651123857503</v>
      </c>
      <c r="Y7" s="10">
        <v>0.64714496932316079</v>
      </c>
      <c r="Z7" s="10">
        <v>0.4309802652912002</v>
      </c>
      <c r="AA7" s="10">
        <v>0.30363248580840091</v>
      </c>
      <c r="AB7" s="10">
        <v>0.49188071729556831</v>
      </c>
      <c r="AC7" s="10">
        <v>0.36208960340731794</v>
      </c>
      <c r="AD7" s="10">
        <v>0.31988121792916202</v>
      </c>
      <c r="AE7" s="10">
        <v>6.4594066581480869E-2</v>
      </c>
      <c r="AF7" s="10">
        <v>7.9688951575499406E-2</v>
      </c>
      <c r="AG7" s="10">
        <v>0.10868783030873524</v>
      </c>
      <c r="AH7"/>
    </row>
    <row r="8" spans="1:34" s="28" customFormat="1" ht="15" customHeight="1" x14ac:dyDescent="0.25">
      <c r="A8" s="4" t="s">
        <v>2</v>
      </c>
      <c r="B8" s="10">
        <v>6.566576427045509E-2</v>
      </c>
      <c r="C8" s="10">
        <v>7.5950910645668029E-2</v>
      </c>
      <c r="D8" s="10">
        <v>5.6093339710238596E-2</v>
      </c>
      <c r="E8" s="10">
        <v>3.4105468499643223E-2</v>
      </c>
      <c r="F8" s="10">
        <v>3.3005949439308312E-2</v>
      </c>
      <c r="G8" s="10">
        <v>4.0278612012635731E-2</v>
      </c>
      <c r="H8" s="10">
        <v>4.3952491844801524E-2</v>
      </c>
      <c r="I8" s="10">
        <v>4.4320126105900394E-2</v>
      </c>
      <c r="J8" s="10">
        <v>3.5354509313096111E-2</v>
      </c>
      <c r="K8" s="10">
        <v>3.3218846878509609E-2</v>
      </c>
      <c r="L8" s="10">
        <v>0.17263568251488412</v>
      </c>
      <c r="M8" s="10">
        <v>0.27012753310249116</v>
      </c>
      <c r="N8" s="10">
        <v>0.25930412263644448</v>
      </c>
      <c r="O8" s="10">
        <v>0.40885191027299506</v>
      </c>
      <c r="P8" s="10">
        <v>0.29905383017619019</v>
      </c>
      <c r="Q8" s="10">
        <v>0.43338559234224727</v>
      </c>
      <c r="R8" s="10">
        <v>0.3456654832261678</v>
      </c>
      <c r="S8" s="10">
        <v>0.68149426981100725</v>
      </c>
      <c r="T8" s="10">
        <v>0.62712340463938576</v>
      </c>
      <c r="U8" s="10">
        <v>1.190955441019131</v>
      </c>
      <c r="V8" s="10">
        <v>0.61656332151108229</v>
      </c>
      <c r="W8" s="10">
        <v>0.32448048953499647</v>
      </c>
      <c r="X8" s="10">
        <v>0.23174495449146473</v>
      </c>
      <c r="Y8" s="10">
        <v>0.14715040766120821</v>
      </c>
      <c r="Z8" s="10">
        <v>4.9842859217920137E-2</v>
      </c>
      <c r="AA8" s="10">
        <v>9.992127460336625E-2</v>
      </c>
      <c r="AB8" s="10">
        <v>0.36680158456081363</v>
      </c>
      <c r="AC8" s="10">
        <v>0.14001145333336412</v>
      </c>
      <c r="AD8" s="10">
        <v>0.21615715265574073</v>
      </c>
      <c r="AE8" s="10">
        <v>0.12380735103291213</v>
      </c>
      <c r="AF8" s="10">
        <v>4.8272917311619812E-2</v>
      </c>
      <c r="AG8" s="10">
        <v>8.4413260017880548E-2</v>
      </c>
      <c r="AH8"/>
    </row>
    <row r="9" spans="1:34" s="28" customFormat="1" ht="15" customHeight="1" x14ac:dyDescent="0.25">
      <c r="A9" s="4" t="s">
        <v>3</v>
      </c>
      <c r="B9" s="10">
        <v>6.9716094084339725E-3</v>
      </c>
      <c r="C9" s="10">
        <v>1.5277365227145526E-2</v>
      </c>
      <c r="D9" s="10">
        <v>2.55036221541242E-2</v>
      </c>
      <c r="E9" s="10">
        <v>2.8679584065957078E-2</v>
      </c>
      <c r="F9" s="10">
        <v>2.4486118640384118E-2</v>
      </c>
      <c r="G9" s="10">
        <v>1.8392845530463463E-2</v>
      </c>
      <c r="H9" s="10">
        <v>1.5615239375279286E-2</v>
      </c>
      <c r="I9" s="10">
        <v>1.3012336401154595E-2</v>
      </c>
      <c r="J9" s="10">
        <v>4.3091126214574713E-2</v>
      </c>
      <c r="K9" s="10">
        <v>5.4178004086044437E-2</v>
      </c>
      <c r="L9" s="10">
        <v>6.301654541865144E-2</v>
      </c>
      <c r="M9" s="10">
        <v>9.4776966357067671E-2</v>
      </c>
      <c r="N9" s="10">
        <v>0.11482427342562845</v>
      </c>
      <c r="O9" s="10">
        <v>0.13859021234014191</v>
      </c>
      <c r="P9" s="10">
        <v>0.16928663401650945</v>
      </c>
      <c r="Q9" s="10">
        <v>0.15266066198438197</v>
      </c>
      <c r="R9" s="10">
        <v>0.18249289354551373</v>
      </c>
      <c r="S9" s="10">
        <v>0.2186713967122953</v>
      </c>
      <c r="T9" s="10">
        <v>0.23778295957566933</v>
      </c>
      <c r="U9" s="10">
        <v>0.23749965408757306</v>
      </c>
      <c r="V9" s="10">
        <v>0.19921358832967187</v>
      </c>
      <c r="W9" s="10">
        <v>0.18232187667560068</v>
      </c>
      <c r="X9" s="10">
        <v>0.15333936525948469</v>
      </c>
      <c r="Y9" s="10">
        <v>0.13093293083299151</v>
      </c>
      <c r="Z9" s="10">
        <v>0.10297100333055874</v>
      </c>
      <c r="AA9" s="10">
        <v>0.26162089603254796</v>
      </c>
      <c r="AB9" s="10">
        <v>0.40698839339790194</v>
      </c>
      <c r="AC9" s="10">
        <v>0.17761727695099747</v>
      </c>
      <c r="AD9" s="10">
        <v>0.17023428928918558</v>
      </c>
      <c r="AE9" s="10">
        <v>3.1407343661655811E-2</v>
      </c>
      <c r="AF9" s="10">
        <v>1.8493809986701588E-2</v>
      </c>
      <c r="AG9" s="10">
        <v>2.1122087509128792E-2</v>
      </c>
      <c r="AH9"/>
    </row>
    <row r="10" spans="1:34" s="28" customFormat="1" ht="15" customHeight="1" x14ac:dyDescent="0.25">
      <c r="A10" s="4" t="s">
        <v>4</v>
      </c>
      <c r="B10" s="10">
        <v>0.36532372433887916</v>
      </c>
      <c r="C10" s="10">
        <v>0.33024911605286739</v>
      </c>
      <c r="D10" s="10">
        <v>0.31037500482143482</v>
      </c>
      <c r="E10" s="10">
        <v>0.30165927025992051</v>
      </c>
      <c r="F10" s="10">
        <v>0.25296147361861482</v>
      </c>
      <c r="G10" s="10">
        <v>0.31652207927312992</v>
      </c>
      <c r="H10" s="10">
        <v>0.25475699425943849</v>
      </c>
      <c r="I10" s="10">
        <v>0.16645317744435073</v>
      </c>
      <c r="J10" s="10">
        <v>0.19034598060553745</v>
      </c>
      <c r="K10" s="10">
        <v>0.23113674821630628</v>
      </c>
      <c r="L10" s="10">
        <v>0.52044377286781673</v>
      </c>
      <c r="M10" s="10">
        <v>0.56604392364717371</v>
      </c>
      <c r="N10" s="10">
        <v>0.3452465764602014</v>
      </c>
      <c r="O10" s="10">
        <v>0.32446692224528823</v>
      </c>
      <c r="P10" s="10">
        <v>0.4218515011675959</v>
      </c>
      <c r="Q10" s="10">
        <v>0.31547511856240723</v>
      </c>
      <c r="R10" s="10">
        <v>0.27111017085935823</v>
      </c>
      <c r="S10" s="10">
        <v>0.19235205736201078</v>
      </c>
      <c r="T10" s="10">
        <v>0.26709265391896442</v>
      </c>
      <c r="U10" s="10">
        <v>0.32448967942659585</v>
      </c>
      <c r="V10" s="10">
        <v>0.35664591981976357</v>
      </c>
      <c r="W10" s="10">
        <v>0.17726273286452435</v>
      </c>
      <c r="X10" s="10">
        <v>0.16401299279077192</v>
      </c>
      <c r="Y10" s="10">
        <v>0.23274705468753923</v>
      </c>
      <c r="Z10" s="10">
        <v>0.13250323300538003</v>
      </c>
      <c r="AA10" s="10">
        <v>0.10373879703854337</v>
      </c>
      <c r="AB10" s="10">
        <v>0.6830883992354283</v>
      </c>
      <c r="AC10" s="10">
        <v>0.29934783222622841</v>
      </c>
      <c r="AD10" s="10">
        <v>0.17013337127177244</v>
      </c>
      <c r="AE10" s="10">
        <v>3.1278271159221362E-2</v>
      </c>
      <c r="AF10" s="10">
        <v>2.2921597048818011E-3</v>
      </c>
      <c r="AG10" s="10">
        <v>6.2783579923858654E-4</v>
      </c>
      <c r="AH10"/>
    </row>
    <row r="11" spans="1:34" s="28" customFormat="1" ht="15" customHeight="1" x14ac:dyDescent="0.25">
      <c r="A11" s="4" t="s">
        <v>5</v>
      </c>
      <c r="B11" s="10">
        <v>1.8998560360116722E-2</v>
      </c>
      <c r="C11" s="10">
        <v>1.934980927045462E-2</v>
      </c>
      <c r="D11" s="10">
        <v>2.1904619064308378E-2</v>
      </c>
      <c r="E11" s="10">
        <v>2.2165462503289868E-2</v>
      </c>
      <c r="F11" s="10">
        <v>1.1142548721440678E-2</v>
      </c>
      <c r="G11" s="10">
        <v>8.0481272730612216E-3</v>
      </c>
      <c r="H11" s="10">
        <v>6.5545070127579885E-3</v>
      </c>
      <c r="I11" s="10">
        <v>6.8678122096944485E-3</v>
      </c>
      <c r="J11" s="10">
        <v>1.3329888968447078E-2</v>
      </c>
      <c r="K11" s="10">
        <v>1.7317472584561185E-2</v>
      </c>
      <c r="L11" s="10">
        <v>2.6556415340125289E-2</v>
      </c>
      <c r="M11" s="10">
        <v>3.1595026870309087E-2</v>
      </c>
      <c r="N11" s="10">
        <v>3.4221787396539888E-2</v>
      </c>
      <c r="O11" s="10">
        <v>3.5872181343272108E-2</v>
      </c>
      <c r="P11" s="10">
        <v>5.0938755611332175E-2</v>
      </c>
      <c r="Q11" s="10">
        <v>5.1597902043787273E-2</v>
      </c>
      <c r="R11" s="10">
        <v>5.2543074321310987E-2</v>
      </c>
      <c r="S11" s="10">
        <v>6.651928747585914E-2</v>
      </c>
      <c r="T11" s="10">
        <v>7.7062802197660277E-2</v>
      </c>
      <c r="U11" s="10">
        <v>9.9565734289491642E-2</v>
      </c>
      <c r="V11" s="10">
        <v>0.11178197070888199</v>
      </c>
      <c r="W11" s="10">
        <v>7.0104782378310249E-2</v>
      </c>
      <c r="X11" s="10">
        <v>8.0677568707260019E-2</v>
      </c>
      <c r="Y11" s="10">
        <v>4.5463722645118845E-2</v>
      </c>
      <c r="Z11" s="10">
        <v>2.787881378676792E-2</v>
      </c>
      <c r="AA11" s="10">
        <v>3.0469947832059203E-2</v>
      </c>
      <c r="AB11" s="10">
        <v>5.3329175614105537E-2</v>
      </c>
      <c r="AC11" s="10">
        <v>7.3568195011544268E-2</v>
      </c>
      <c r="AD11" s="10">
        <v>6.0097997488461487E-2</v>
      </c>
      <c r="AE11" s="10">
        <v>2.183637318951347E-2</v>
      </c>
      <c r="AF11" s="10">
        <v>1.8830776999743084E-2</v>
      </c>
      <c r="AG11" s="10">
        <v>1.3665303549049473E-2</v>
      </c>
      <c r="AH11"/>
    </row>
    <row r="12" spans="1:34" s="28" customFormat="1" ht="15" customHeight="1" x14ac:dyDescent="0.25">
      <c r="A12" s="4" t="s">
        <v>6</v>
      </c>
      <c r="B12" s="10">
        <v>7.1882453703687565E-2</v>
      </c>
      <c r="C12" s="10">
        <v>7.4464852035879076E-2</v>
      </c>
      <c r="D12" s="10">
        <v>0.11124782029829522</v>
      </c>
      <c r="E12" s="10">
        <v>0.10318417626040832</v>
      </c>
      <c r="F12" s="10">
        <v>3.7381665160733685E-2</v>
      </c>
      <c r="G12" s="10">
        <v>2.2419879903761999E-2</v>
      </c>
      <c r="H12" s="10">
        <v>2.8387652226929017E-2</v>
      </c>
      <c r="I12" s="10">
        <v>2.0654056019042029E-2</v>
      </c>
      <c r="J12" s="10">
        <v>2.7407467260192719E-2</v>
      </c>
      <c r="K12" s="10">
        <v>3.4694937713813767E-2</v>
      </c>
      <c r="L12" s="10">
        <v>5.9249850941041189E-2</v>
      </c>
      <c r="M12" s="10">
        <v>0.11668394933820929</v>
      </c>
      <c r="N12" s="10">
        <v>0.12751445652223672</v>
      </c>
      <c r="O12" s="10">
        <v>9.5226582723751452E-2</v>
      </c>
      <c r="P12" s="10">
        <v>0.12338698774702078</v>
      </c>
      <c r="Q12" s="10">
        <v>0.12812105017091194</v>
      </c>
      <c r="R12" s="10">
        <v>0.26093392284904376</v>
      </c>
      <c r="S12" s="10">
        <v>0.15550931236836968</v>
      </c>
      <c r="T12" s="10">
        <v>0.24119641556163532</v>
      </c>
      <c r="U12" s="10">
        <v>0.2314902095162063</v>
      </c>
      <c r="V12" s="10">
        <v>0.20135426560834163</v>
      </c>
      <c r="W12" s="10">
        <v>0.13183731092516976</v>
      </c>
      <c r="X12" s="10">
        <v>0.11627203904181152</v>
      </c>
      <c r="Y12" s="10">
        <v>7.2493292127587358E-2</v>
      </c>
      <c r="Z12" s="10">
        <v>4.5493421785002382E-2</v>
      </c>
      <c r="AA12" s="10">
        <v>4.1345926149978146E-2</v>
      </c>
      <c r="AB12" s="10">
        <v>0.15358553709306</v>
      </c>
      <c r="AC12" s="10">
        <v>0.11844344335974424</v>
      </c>
      <c r="AD12" s="10">
        <v>0.11567793900934323</v>
      </c>
      <c r="AE12" s="10">
        <v>1.3526461831489707E-2</v>
      </c>
      <c r="AF12" s="10">
        <v>2.9194929188667933E-2</v>
      </c>
      <c r="AG12" s="10">
        <v>7.4504534592063068E-3</v>
      </c>
      <c r="AH12"/>
    </row>
    <row r="13" spans="1:34" s="28" customFormat="1" ht="15" customHeight="1" x14ac:dyDescent="0.25">
      <c r="A13" s="4" t="s">
        <v>7</v>
      </c>
      <c r="B13" s="10">
        <v>2.770000251906847E-2</v>
      </c>
      <c r="C13" s="10">
        <v>8.0759407640116965E-2</v>
      </c>
      <c r="D13" s="10">
        <v>2.6821661026635083E-2</v>
      </c>
      <c r="E13" s="10">
        <v>1.8335941187300711E-2</v>
      </c>
      <c r="F13" s="10">
        <v>2.2534028224586486E-2</v>
      </c>
      <c r="G13" s="10">
        <v>1.2182808822290656E-2</v>
      </c>
      <c r="H13" s="10">
        <v>3.1591069499883346E-3</v>
      </c>
      <c r="I13" s="10">
        <v>3.2391991282619556E-3</v>
      </c>
      <c r="J13" s="10">
        <v>1.6388886996588751E-2</v>
      </c>
      <c r="K13" s="10">
        <v>2.9006738982859461E-2</v>
      </c>
      <c r="L13" s="10">
        <v>1.9674516363812761E-2</v>
      </c>
      <c r="M13" s="10">
        <v>1.3383769737530091E-2</v>
      </c>
      <c r="N13" s="10">
        <v>1.7356683062820965E-2</v>
      </c>
      <c r="O13" s="10">
        <v>2.1552482657007262E-2</v>
      </c>
      <c r="P13" s="10">
        <v>3.6994470515759548E-2</v>
      </c>
      <c r="Q13" s="10">
        <v>2.5039356468564831E-2</v>
      </c>
      <c r="R13" s="10">
        <v>2.9778471498264288E-2</v>
      </c>
      <c r="S13" s="10">
        <v>2.4332784357010237E-2</v>
      </c>
      <c r="T13" s="10">
        <v>3.8829121916372777E-2</v>
      </c>
      <c r="U13" s="10">
        <v>3.190603190764528E-2</v>
      </c>
      <c r="V13" s="10">
        <v>2.3007189545846178E-2</v>
      </c>
      <c r="W13" s="10">
        <v>2.005084864159435E-2</v>
      </c>
      <c r="X13" s="10">
        <v>1.1782704964736025E-2</v>
      </c>
      <c r="Y13" s="10">
        <v>1.2045127895662717E-2</v>
      </c>
      <c r="Z13" s="10">
        <v>3.4383789040151403E-3</v>
      </c>
      <c r="AA13" s="10">
        <v>6.6847057835442952E-2</v>
      </c>
      <c r="AB13" s="10">
        <v>5.218386274596528E-2</v>
      </c>
      <c r="AC13" s="10">
        <v>3.227945800336128E-2</v>
      </c>
      <c r="AD13" s="10">
        <v>1.9313447600739681E-2</v>
      </c>
      <c r="AE13" s="10">
        <v>1.3448624996226488E-2</v>
      </c>
      <c r="AF13" s="10">
        <v>5.2374855199275698E-3</v>
      </c>
      <c r="AG13" s="10">
        <v>1.7787105802360627E-3</v>
      </c>
      <c r="AH13"/>
    </row>
    <row r="14" spans="1:34" s="28" customFormat="1" ht="15" customHeight="1" x14ac:dyDescent="0.25">
      <c r="A14" s="4" t="s">
        <v>56</v>
      </c>
      <c r="B14" s="10">
        <v>1.5625191952049027E-2</v>
      </c>
      <c r="C14" s="10">
        <v>1.1747226982673069E-2</v>
      </c>
      <c r="D14" s="10">
        <v>2.0684426212379148E-2</v>
      </c>
      <c r="E14" s="10">
        <v>2.9938892660257451E-2</v>
      </c>
      <c r="F14" s="10">
        <v>7.0338129775141353E-2</v>
      </c>
      <c r="G14" s="10">
        <v>2.2783097319549698E-2</v>
      </c>
      <c r="H14" s="10">
        <v>1.5084236293775236E-2</v>
      </c>
      <c r="I14" s="10">
        <v>1.1804565840299387E-2</v>
      </c>
      <c r="J14" s="10">
        <v>1.0308290711356589E-2</v>
      </c>
      <c r="K14" s="10">
        <v>1.0034177446785315E-2</v>
      </c>
      <c r="L14" s="10">
        <v>1.8736271815401252E-2</v>
      </c>
      <c r="M14" s="10">
        <v>1.9072610340668851E-2</v>
      </c>
      <c r="N14" s="10">
        <v>2.5430003720652475E-2</v>
      </c>
      <c r="O14" s="10">
        <v>2.6648182431035956E-2</v>
      </c>
      <c r="P14" s="10">
        <v>2.2100856323177664E-2</v>
      </c>
      <c r="Q14" s="10">
        <v>2.7805677487472976E-2</v>
      </c>
      <c r="R14" s="10">
        <v>1.6159706887742865E-2</v>
      </c>
      <c r="S14" s="10">
        <v>1.37710066140233E-2</v>
      </c>
      <c r="T14" s="10">
        <v>2.7664018553153872E-2</v>
      </c>
      <c r="U14" s="10">
        <v>3.9157337218404129E-2</v>
      </c>
      <c r="V14" s="10">
        <v>2.9436959432688981E-2</v>
      </c>
      <c r="W14" s="10">
        <v>2.1625540110807188E-2</v>
      </c>
      <c r="X14" s="10">
        <v>2.9845715395964117E-2</v>
      </c>
      <c r="Y14" s="10">
        <v>2.8504331249706895E-2</v>
      </c>
      <c r="Z14" s="10">
        <v>1.1229973999769235E-2</v>
      </c>
      <c r="AA14" s="10">
        <v>1.3432712191647427E-2</v>
      </c>
      <c r="AB14" s="10">
        <v>3.3596960183791269E-2</v>
      </c>
      <c r="AC14" s="10">
        <v>2.4266507453787483E-2</v>
      </c>
      <c r="AD14" s="10">
        <v>1.60494166733594E-2</v>
      </c>
      <c r="AE14" s="10">
        <v>8.5055499155878515E-3</v>
      </c>
      <c r="AF14" s="10">
        <v>5.7383146797067271E-3</v>
      </c>
      <c r="AG14" s="10">
        <v>1.7556831596167388E-2</v>
      </c>
      <c r="AH14"/>
    </row>
    <row r="15" spans="1:34" s="28" customFormat="1" ht="15" customHeight="1" x14ac:dyDescent="0.25">
      <c r="A15" s="4" t="s">
        <v>32</v>
      </c>
      <c r="B15" s="10">
        <v>0.38024673438620316</v>
      </c>
      <c r="C15" s="10">
        <v>0.33459888535268234</v>
      </c>
      <c r="D15" s="10">
        <v>0.30131999907600554</v>
      </c>
      <c r="E15" s="10">
        <v>0.32957820590820436</v>
      </c>
      <c r="F15" s="10">
        <v>0.29079524153276859</v>
      </c>
      <c r="G15" s="10">
        <v>0.26934742700078473</v>
      </c>
      <c r="H15" s="10">
        <v>0.26070259187393852</v>
      </c>
      <c r="I15" s="10">
        <v>0.22962305742456957</v>
      </c>
      <c r="J15" s="10">
        <v>0.21728467088715217</v>
      </c>
      <c r="K15" s="10">
        <v>0.21611610837604239</v>
      </c>
      <c r="L15" s="10">
        <v>0.20147462893498241</v>
      </c>
      <c r="M15" s="10">
        <v>0.20114622632191159</v>
      </c>
      <c r="N15" s="10">
        <v>0.13420964293503987</v>
      </c>
      <c r="O15" s="10">
        <v>0.15639701803771733</v>
      </c>
      <c r="P15" s="10">
        <v>0.49279680071671605</v>
      </c>
      <c r="Q15" s="10">
        <v>0.75004666287843702</v>
      </c>
      <c r="R15" s="10">
        <v>0.64203250095394659</v>
      </c>
      <c r="S15" s="10">
        <v>0.54352235089818757</v>
      </c>
      <c r="T15" s="10">
        <v>0.6293175858571054</v>
      </c>
      <c r="U15" s="10">
        <v>0.59039222865920915</v>
      </c>
      <c r="V15" s="10">
        <v>0.53973987408000457</v>
      </c>
      <c r="W15" s="10">
        <v>0.47801285815094624</v>
      </c>
      <c r="X15" s="10">
        <v>0.4807646075634226</v>
      </c>
      <c r="Y15" s="10">
        <v>0.17122804534572489</v>
      </c>
      <c r="Z15" s="10">
        <v>0.12295975613093091</v>
      </c>
      <c r="AA15" s="10">
        <v>0.18382824364590256</v>
      </c>
      <c r="AB15" s="10">
        <v>0.28514647021092299</v>
      </c>
      <c r="AC15" s="10">
        <v>0.19543986681034103</v>
      </c>
      <c r="AD15" s="10">
        <v>0.20440967220558903</v>
      </c>
      <c r="AE15" s="10">
        <v>5.0757398265232449E-2</v>
      </c>
      <c r="AF15" s="10">
        <v>3.8711600814202475E-2</v>
      </c>
      <c r="AG15" s="10">
        <v>3.3715493219121158E-2</v>
      </c>
      <c r="AH15"/>
    </row>
    <row r="16" spans="1:34" s="28" customFormat="1" ht="15" customHeight="1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H16"/>
    </row>
    <row r="17" spans="1:34" ht="15" customHeight="1" x14ac:dyDescent="0.25">
      <c r="A17" s="13" t="s">
        <v>81</v>
      </c>
      <c r="AH17"/>
    </row>
    <row r="18" spans="1:34" ht="15" customHeight="1" x14ac:dyDescent="0.25">
      <c r="A18" s="13" t="s">
        <v>79</v>
      </c>
      <c r="AH18"/>
    </row>
    <row r="19" spans="1:34" ht="15" customHeight="1" x14ac:dyDescent="0.25">
      <c r="A19" s="13" t="s">
        <v>80</v>
      </c>
      <c r="AH19"/>
    </row>
    <row r="20" spans="1:34" ht="15" customHeight="1" x14ac:dyDescent="0.25">
      <c r="AH20"/>
    </row>
    <row r="21" spans="1:34" ht="15" customHeight="1" x14ac:dyDescent="0.25">
      <c r="AH21"/>
    </row>
    <row r="22" spans="1:34" ht="15" customHeight="1" x14ac:dyDescent="0.25">
      <c r="AH22"/>
    </row>
    <row r="23" spans="1:34" ht="15" customHeight="1" x14ac:dyDescent="0.25">
      <c r="AH23"/>
    </row>
    <row r="44" spans="2:3" ht="22.5" customHeight="1" x14ac:dyDescent="0.25"/>
    <row r="45" spans="2:3" ht="28.5" hidden="1" customHeight="1" x14ac:dyDescent="0.25">
      <c r="B45" s="39" t="s">
        <v>18</v>
      </c>
      <c r="C45" t="s">
        <v>4</v>
      </c>
    </row>
    <row r="46" spans="2:3" ht="29.25" hidden="1" customHeight="1" x14ac:dyDescent="0.25"/>
    <row r="47" spans="2:3" ht="27.75" hidden="1" customHeight="1" x14ac:dyDescent="0.25">
      <c r="B47" s="39" t="s">
        <v>34</v>
      </c>
      <c r="C47"/>
    </row>
    <row r="48" spans="2:3" ht="17.25" hidden="1" customHeight="1" x14ac:dyDescent="0.25">
      <c r="B48" s="40" t="s">
        <v>41</v>
      </c>
      <c r="C48" s="36">
        <v>0.35664591981976357</v>
      </c>
    </row>
    <row r="49" spans="2:3" ht="28.5" hidden="1" customHeight="1" x14ac:dyDescent="0.25">
      <c r="B49" s="40" t="s">
        <v>40</v>
      </c>
      <c r="C49" s="36">
        <v>0.17726273286452435</v>
      </c>
    </row>
    <row r="50" spans="2:3" ht="18" hidden="1" customHeight="1" x14ac:dyDescent="0.25">
      <c r="B50" s="40" t="s">
        <v>39</v>
      </c>
      <c r="C50" s="36">
        <v>0.16401299279077192</v>
      </c>
    </row>
    <row r="51" spans="2:3" ht="20.25" hidden="1" customHeight="1" x14ac:dyDescent="0.25">
      <c r="B51" s="40" t="s">
        <v>38</v>
      </c>
      <c r="C51" s="36">
        <v>0.23274705468753923</v>
      </c>
    </row>
    <row r="52" spans="2:3" ht="15.75" hidden="1" customHeight="1" x14ac:dyDescent="0.25">
      <c r="B52" s="40" t="s">
        <v>37</v>
      </c>
      <c r="C52" s="36">
        <v>0.13250323300538003</v>
      </c>
    </row>
    <row r="53" spans="2:3" ht="27" hidden="1" customHeight="1" x14ac:dyDescent="0.25">
      <c r="B53" s="40" t="s">
        <v>36</v>
      </c>
      <c r="C53" s="36">
        <v>0.10373879703854337</v>
      </c>
    </row>
    <row r="54" spans="2:3" ht="21.75" hidden="1" customHeight="1" x14ac:dyDescent="0.25">
      <c r="B54" s="40" t="s">
        <v>35</v>
      </c>
      <c r="C54" s="36">
        <v>0.6830883992354283</v>
      </c>
    </row>
    <row r="55" spans="2:3" ht="20.25" hidden="1" customHeight="1" x14ac:dyDescent="0.25">
      <c r="B55" s="40" t="s">
        <v>57</v>
      </c>
      <c r="C55" s="36">
        <v>0.29934783222622841</v>
      </c>
    </row>
    <row r="56" spans="2:3" ht="25.5" hidden="1" customHeight="1" x14ac:dyDescent="0.25">
      <c r="B56" s="40" t="s">
        <v>58</v>
      </c>
      <c r="C56" s="36">
        <v>0.17013337127177244</v>
      </c>
    </row>
    <row r="57" spans="2:3" ht="28.5" hidden="1" customHeight="1" x14ac:dyDescent="0.25">
      <c r="B57" s="40" t="s">
        <v>59</v>
      </c>
      <c r="C57" s="36">
        <v>3.1278271159221362E-2</v>
      </c>
    </row>
    <row r="58" spans="2:3" ht="1.5" customHeight="1" x14ac:dyDescent="0.25">
      <c r="B58" s="40" t="s">
        <v>65</v>
      </c>
      <c r="C58" s="36">
        <v>2.2921597048818011E-3</v>
      </c>
    </row>
    <row r="59" spans="2:3" ht="1.5" customHeight="1" x14ac:dyDescent="0.25">
      <c r="B59" s="40" t="s">
        <v>82</v>
      </c>
      <c r="C59" s="36">
        <v>6.2783579923858654E-4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7"/>
  <sheetViews>
    <sheetView showGridLines="0"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30" style="25" customWidth="1"/>
    <col min="2" max="28" width="8.28515625" style="25" customWidth="1"/>
    <col min="29" max="16384" width="11.42578125" style="25"/>
  </cols>
  <sheetData>
    <row r="1" spans="1:33" ht="15" customHeight="1" x14ac:dyDescent="0.2">
      <c r="A1" s="53">
        <v>46053</v>
      </c>
    </row>
    <row r="2" spans="1:33" ht="15" customHeight="1" x14ac:dyDescent="0.25">
      <c r="A2" s="21" t="s">
        <v>22</v>
      </c>
    </row>
    <row r="3" spans="1:33" ht="15" customHeight="1" x14ac:dyDescent="0.25">
      <c r="A3" s="19" t="s">
        <v>83</v>
      </c>
    </row>
    <row r="4" spans="1:33" ht="15" customHeight="1" x14ac:dyDescent="0.25">
      <c r="A4" s="14" t="s">
        <v>13</v>
      </c>
      <c r="B4" s="14"/>
      <c r="C4" s="14"/>
    </row>
    <row r="5" spans="1:33" ht="15" customHeight="1" x14ac:dyDescent="0.25">
      <c r="A5" s="14"/>
      <c r="B5" s="14"/>
      <c r="C5" s="14"/>
    </row>
    <row r="6" spans="1:33" s="28" customFormat="1" ht="15" customHeight="1" x14ac:dyDescent="0.25">
      <c r="A6" s="1" t="s">
        <v>18</v>
      </c>
      <c r="B6" s="6">
        <v>1995</v>
      </c>
      <c r="C6" s="6">
        <v>1996</v>
      </c>
      <c r="D6" s="6">
        <v>1997</v>
      </c>
      <c r="E6" s="6">
        <v>1998</v>
      </c>
      <c r="F6" s="6">
        <v>1999</v>
      </c>
      <c r="G6" s="6">
        <v>2000</v>
      </c>
      <c r="H6" s="6">
        <v>2001</v>
      </c>
      <c r="I6" s="6">
        <v>2002</v>
      </c>
      <c r="J6" s="6">
        <v>2003</v>
      </c>
      <c r="K6" s="6">
        <v>2004</v>
      </c>
      <c r="L6" s="6">
        <v>2005</v>
      </c>
      <c r="M6" s="6">
        <v>2006</v>
      </c>
      <c r="N6" s="6">
        <v>2007</v>
      </c>
      <c r="O6" s="6">
        <v>2008</v>
      </c>
      <c r="P6" s="6">
        <v>2009</v>
      </c>
      <c r="Q6" s="6">
        <v>2010</v>
      </c>
      <c r="R6" s="6">
        <v>2011</v>
      </c>
      <c r="S6" s="6">
        <v>2012</v>
      </c>
      <c r="T6" s="6">
        <v>2013</v>
      </c>
      <c r="U6" s="6">
        <v>2014</v>
      </c>
      <c r="V6" s="7">
        <v>2015</v>
      </c>
      <c r="W6" s="7">
        <v>2016</v>
      </c>
      <c r="X6" s="7">
        <v>2017</v>
      </c>
      <c r="Y6" s="7">
        <v>2018</v>
      </c>
      <c r="Z6" s="7">
        <v>2019</v>
      </c>
      <c r="AA6" s="7">
        <v>2020</v>
      </c>
      <c r="AB6" s="8">
        <v>2021</v>
      </c>
      <c r="AC6" s="7">
        <v>2022</v>
      </c>
      <c r="AD6" s="8">
        <v>2023</v>
      </c>
      <c r="AE6" s="7">
        <v>2024</v>
      </c>
      <c r="AF6" s="7">
        <v>2025</v>
      </c>
      <c r="AG6" s="56">
        <v>2026</v>
      </c>
    </row>
    <row r="7" spans="1:33" s="28" customFormat="1" ht="15" customHeight="1" x14ac:dyDescent="0.25">
      <c r="A7" s="4" t="s">
        <v>1</v>
      </c>
      <c r="B7" s="59">
        <v>1.7493110325827863</v>
      </c>
      <c r="C7" s="59">
        <v>10.804944251216034</v>
      </c>
      <c r="D7" s="59">
        <v>10.631309618627446</v>
      </c>
      <c r="E7" s="59">
        <v>32.682541395691104</v>
      </c>
      <c r="F7" s="59">
        <v>13.694116515925785</v>
      </c>
      <c r="G7" s="59">
        <v>0.56469276957762615</v>
      </c>
      <c r="H7" s="59">
        <v>6.1785958932577296</v>
      </c>
      <c r="I7" s="59">
        <v>0.57961059294017825</v>
      </c>
      <c r="J7" s="59">
        <v>1.1462931108179866</v>
      </c>
      <c r="K7" s="59">
        <v>2.971740750717148</v>
      </c>
      <c r="L7" s="59">
        <v>7.414981817092456</v>
      </c>
      <c r="M7" s="59">
        <v>36.781964819051879</v>
      </c>
      <c r="N7" s="59">
        <v>88.964749912148136</v>
      </c>
      <c r="O7" s="59">
        <v>117.90810452483146</v>
      </c>
      <c r="P7" s="59">
        <v>55.594220510044053</v>
      </c>
      <c r="Q7" s="59">
        <v>2.647883682627008</v>
      </c>
      <c r="R7" s="59">
        <v>16.224602115104432</v>
      </c>
      <c r="S7" s="59">
        <v>6.7382670174392052</v>
      </c>
      <c r="T7" s="59">
        <v>116.46718237512974</v>
      </c>
      <c r="U7" s="59">
        <v>134.50544825545362</v>
      </c>
      <c r="V7" s="59">
        <v>100</v>
      </c>
      <c r="W7" s="59">
        <v>28.195900519066704</v>
      </c>
      <c r="X7" s="59">
        <v>19.88197094216002</v>
      </c>
      <c r="Y7" s="59">
        <v>100.56468882467475</v>
      </c>
      <c r="Z7" s="59">
        <v>42.973894240283066</v>
      </c>
      <c r="AA7" s="59">
        <v>0</v>
      </c>
      <c r="AB7" s="59">
        <v>23.356549490525087</v>
      </c>
      <c r="AC7" s="59">
        <v>49.958540565881954</v>
      </c>
      <c r="AD7" s="59">
        <v>11.81796599752599</v>
      </c>
      <c r="AE7" s="59">
        <v>4.3217457940927795E-2</v>
      </c>
      <c r="AF7" s="59">
        <v>6.4051136106844314E-3</v>
      </c>
      <c r="AG7" s="59">
        <v>0.43882293126965394</v>
      </c>
    </row>
    <row r="8" spans="1:33" s="28" customFormat="1" ht="15" customHeight="1" x14ac:dyDescent="0.25">
      <c r="A8" s="4" t="s">
        <v>2</v>
      </c>
      <c r="B8" s="59">
        <v>0.71643160520065219</v>
      </c>
      <c r="C8" s="59">
        <v>1.2251311267264442</v>
      </c>
      <c r="D8" s="59">
        <v>0</v>
      </c>
      <c r="E8" s="59">
        <v>1.9138864333131935</v>
      </c>
      <c r="F8" s="59">
        <v>0.20484138910655755</v>
      </c>
      <c r="G8" s="59">
        <v>1.1461401367482294E-2</v>
      </c>
      <c r="H8" s="59">
        <v>9.5352948181746264E-2</v>
      </c>
      <c r="I8" s="59">
        <v>0</v>
      </c>
      <c r="J8" s="59">
        <v>5.4011735955645568E-2</v>
      </c>
      <c r="K8" s="59">
        <v>7.8610685464326355E-2</v>
      </c>
      <c r="L8" s="59">
        <v>0.11878327744968022</v>
      </c>
      <c r="M8" s="59">
        <v>272.78379627636309</v>
      </c>
      <c r="N8" s="59">
        <v>0.12686610350590316</v>
      </c>
      <c r="O8" s="59">
        <v>87.256850551702868</v>
      </c>
      <c r="P8" s="59">
        <v>35.864464574843844</v>
      </c>
      <c r="Q8" s="59">
        <v>6.4559968902395907E-3</v>
      </c>
      <c r="R8" s="59">
        <v>20.928381053340836</v>
      </c>
      <c r="S8" s="59">
        <v>19.527912230415446</v>
      </c>
      <c r="T8" s="59">
        <v>20.07070743348692</v>
      </c>
      <c r="U8" s="59">
        <v>33.329548087679385</v>
      </c>
      <c r="V8" s="59">
        <v>100</v>
      </c>
      <c r="W8" s="59">
        <v>2.0628780980465868E-2</v>
      </c>
      <c r="X8" s="59">
        <v>4.7233658629349765E-2</v>
      </c>
      <c r="Y8" s="59">
        <v>0.79786388615786641</v>
      </c>
      <c r="Z8" s="59">
        <v>11.414491817802132</v>
      </c>
      <c r="AA8" s="59">
        <v>0</v>
      </c>
      <c r="AB8" s="59">
        <v>1.359651028450775E-2</v>
      </c>
      <c r="AC8" s="59">
        <v>0.75745223262095129</v>
      </c>
      <c r="AD8" s="59">
        <v>0</v>
      </c>
      <c r="AE8" s="59">
        <v>1.1470162328130924E-2</v>
      </c>
      <c r="AF8" s="59">
        <v>1.1893346977028213E-2</v>
      </c>
      <c r="AG8" s="59">
        <v>0</v>
      </c>
    </row>
    <row r="9" spans="1:33" s="28" customFormat="1" ht="15" customHeight="1" x14ac:dyDescent="0.25">
      <c r="A9" s="4" t="s">
        <v>3</v>
      </c>
      <c r="B9" s="59">
        <v>0</v>
      </c>
      <c r="C9" s="59">
        <v>0</v>
      </c>
      <c r="D9" s="59">
        <v>0</v>
      </c>
      <c r="E9" s="59">
        <v>15.579631868831498</v>
      </c>
      <c r="F9" s="59">
        <v>0</v>
      </c>
      <c r="G9" s="59">
        <v>36.662356979280517</v>
      </c>
      <c r="H9" s="59">
        <v>26.335275708988302</v>
      </c>
      <c r="I9" s="59">
        <v>0.15855957923917235</v>
      </c>
      <c r="J9" s="59">
        <v>0</v>
      </c>
      <c r="K9" s="59">
        <v>32.092414055819674</v>
      </c>
      <c r="L9" s="59">
        <v>2.1158576440872183</v>
      </c>
      <c r="M9" s="59">
        <v>33.336194564053123</v>
      </c>
      <c r="N9" s="59">
        <v>239.81696459827847</v>
      </c>
      <c r="O9" s="59">
        <v>245.59994354370102</v>
      </c>
      <c r="P9" s="59">
        <v>211.70975384106004</v>
      </c>
      <c r="Q9" s="59">
        <v>182.04536861624914</v>
      </c>
      <c r="R9" s="59">
        <v>162.22760861006813</v>
      </c>
      <c r="S9" s="59">
        <v>150.72185868480963</v>
      </c>
      <c r="T9" s="59">
        <v>146.06273451684916</v>
      </c>
      <c r="U9" s="59">
        <v>139.20641832774513</v>
      </c>
      <c r="V9" s="59">
        <v>100</v>
      </c>
      <c r="W9" s="59">
        <v>0</v>
      </c>
      <c r="X9" s="59">
        <v>948.75358307292959</v>
      </c>
      <c r="Y9" s="59">
        <v>849.18983705469088</v>
      </c>
      <c r="Z9" s="59">
        <v>163.88094498015658</v>
      </c>
      <c r="AA9" s="59">
        <v>235.85958544523351</v>
      </c>
      <c r="AB9" s="59">
        <v>218.73621650002224</v>
      </c>
      <c r="AC9" s="59">
        <v>682.89809945114985</v>
      </c>
      <c r="AD9" s="59">
        <v>134.71770473683856</v>
      </c>
      <c r="AE9" s="59">
        <v>60.091975027384656</v>
      </c>
      <c r="AF9" s="59">
        <v>28.065121930111523</v>
      </c>
      <c r="AG9" s="59">
        <v>0</v>
      </c>
    </row>
    <row r="10" spans="1:33" s="28" customFormat="1" ht="15" customHeight="1" x14ac:dyDescent="0.25">
      <c r="A10" s="4" t="s">
        <v>4</v>
      </c>
      <c r="B10" s="59">
        <v>0</v>
      </c>
      <c r="C10" s="59">
        <v>2.9883309562611542</v>
      </c>
      <c r="D10" s="59">
        <v>6.1559340191899032</v>
      </c>
      <c r="E10" s="59">
        <v>4.9800000720345024E-2</v>
      </c>
      <c r="F10" s="59">
        <v>183.30986707257463</v>
      </c>
      <c r="G10" s="59">
        <v>0</v>
      </c>
      <c r="H10" s="59">
        <v>0</v>
      </c>
      <c r="I10" s="59">
        <v>0</v>
      </c>
      <c r="J10" s="59">
        <v>0</v>
      </c>
      <c r="K10" s="59">
        <v>2.341052020473402</v>
      </c>
      <c r="L10" s="59">
        <v>54.779259637524262</v>
      </c>
      <c r="M10" s="59">
        <v>29.686966373882317</v>
      </c>
      <c r="N10" s="59">
        <v>65.31134349516941</v>
      </c>
      <c r="O10" s="59">
        <v>43.584388868092944</v>
      </c>
      <c r="P10" s="59">
        <v>160.66507206620307</v>
      </c>
      <c r="Q10" s="59">
        <v>9.9303599075797208E-2</v>
      </c>
      <c r="R10" s="59">
        <v>7.3408273619775386</v>
      </c>
      <c r="S10" s="59">
        <v>12.185094593126749</v>
      </c>
      <c r="T10" s="59">
        <v>122.96553437699212</v>
      </c>
      <c r="U10" s="59">
        <v>108.19900054564499</v>
      </c>
      <c r="V10" s="59">
        <v>100</v>
      </c>
      <c r="W10" s="59">
        <v>0</v>
      </c>
      <c r="X10" s="59">
        <v>85.467932158271637</v>
      </c>
      <c r="Y10" s="59">
        <v>322.60480795929374</v>
      </c>
      <c r="Z10" s="59">
        <v>78.114240788319876</v>
      </c>
      <c r="AA10" s="59">
        <v>0</v>
      </c>
      <c r="AB10" s="59">
        <v>382.6568241353994</v>
      </c>
      <c r="AC10" s="59">
        <v>446.93441406186372</v>
      </c>
      <c r="AD10" s="59">
        <v>223.50050049411848</v>
      </c>
      <c r="AE10" s="59">
        <v>103.99003702198286</v>
      </c>
      <c r="AF10" s="59">
        <v>3.2687548035745517</v>
      </c>
      <c r="AG10" s="59">
        <v>0</v>
      </c>
    </row>
    <row r="11" spans="1:33" s="28" customFormat="1" ht="15" customHeight="1" x14ac:dyDescent="0.25">
      <c r="A11" s="4" t="s">
        <v>5</v>
      </c>
      <c r="B11" s="59">
        <v>0</v>
      </c>
      <c r="C11" s="59">
        <v>56.084767659284744</v>
      </c>
      <c r="D11" s="59">
        <v>60.580354104751187</v>
      </c>
      <c r="E11" s="59">
        <v>110.45621011698537</v>
      </c>
      <c r="F11" s="59">
        <v>143.76753984022847</v>
      </c>
      <c r="G11" s="59">
        <v>4.4250347474349967</v>
      </c>
      <c r="H11" s="59">
        <v>26.912825001991738</v>
      </c>
      <c r="I11" s="59">
        <v>0.66820235887848134</v>
      </c>
      <c r="J11" s="59">
        <v>0</v>
      </c>
      <c r="K11" s="59">
        <v>6.1938293241864315</v>
      </c>
      <c r="L11" s="59">
        <v>43.344438065732966</v>
      </c>
      <c r="M11" s="59">
        <v>48.781942813580052</v>
      </c>
      <c r="N11" s="59">
        <v>101.87249433214912</v>
      </c>
      <c r="O11" s="59">
        <v>336.7488984063371</v>
      </c>
      <c r="P11" s="59">
        <v>508.68178130938873</v>
      </c>
      <c r="Q11" s="59">
        <v>45.141806943418871</v>
      </c>
      <c r="R11" s="59">
        <v>163.18082417439601</v>
      </c>
      <c r="S11" s="59">
        <v>4.5749997702700576</v>
      </c>
      <c r="T11" s="59">
        <v>931.41828391230808</v>
      </c>
      <c r="U11" s="59">
        <v>88.019375230217136</v>
      </c>
      <c r="V11" s="59">
        <v>100</v>
      </c>
      <c r="W11" s="59">
        <v>0.27448814127864052</v>
      </c>
      <c r="X11" s="59">
        <v>2813.9713138907605</v>
      </c>
      <c r="Y11" s="59">
        <v>641.26056192732631</v>
      </c>
      <c r="Z11" s="59">
        <v>383.59007049837248</v>
      </c>
      <c r="AA11" s="59">
        <v>1.3012633028096301</v>
      </c>
      <c r="AB11" s="59">
        <v>0.54722122478955637</v>
      </c>
      <c r="AC11" s="59">
        <v>426.46969021982352</v>
      </c>
      <c r="AD11" s="59">
        <v>104.19806500563095</v>
      </c>
      <c r="AE11" s="59">
        <v>0</v>
      </c>
      <c r="AF11" s="59">
        <v>28.436415598539277</v>
      </c>
      <c r="AG11" s="59">
        <v>1.5480069713470925</v>
      </c>
    </row>
    <row r="12" spans="1:33" s="28" customFormat="1" ht="15" customHeight="1" x14ac:dyDescent="0.25">
      <c r="A12" s="4" t="s">
        <v>6</v>
      </c>
      <c r="B12" s="59">
        <v>639.50511246283975</v>
      </c>
      <c r="C12" s="59">
        <v>50.286753985980653</v>
      </c>
      <c r="D12" s="59">
        <v>9.559569834382966</v>
      </c>
      <c r="E12" s="59">
        <v>673.47161728796141</v>
      </c>
      <c r="F12" s="59">
        <v>242.79265376715986</v>
      </c>
      <c r="G12" s="59">
        <v>0.9425958398012545</v>
      </c>
      <c r="H12" s="59">
        <v>9.0415461352120238E-2</v>
      </c>
      <c r="I12" s="59">
        <v>0</v>
      </c>
      <c r="J12" s="59">
        <v>1.6003337861772957</v>
      </c>
      <c r="K12" s="59">
        <v>0.90105095961397075</v>
      </c>
      <c r="L12" s="59">
        <v>186.33452857925104</v>
      </c>
      <c r="M12" s="59">
        <v>25.427446728262929</v>
      </c>
      <c r="N12" s="59">
        <v>43.48988326485631</v>
      </c>
      <c r="O12" s="59">
        <v>58.865463658514741</v>
      </c>
      <c r="P12" s="59">
        <v>108.5874003962749</v>
      </c>
      <c r="Q12" s="59">
        <v>631.47210896977253</v>
      </c>
      <c r="R12" s="59">
        <v>26.361472588981293</v>
      </c>
      <c r="S12" s="59">
        <v>38.642995249859389</v>
      </c>
      <c r="T12" s="59">
        <v>0.54052898484455869</v>
      </c>
      <c r="U12" s="59">
        <v>346.15235448073508</v>
      </c>
      <c r="V12" s="59">
        <v>100</v>
      </c>
      <c r="W12" s="59">
        <v>0</v>
      </c>
      <c r="X12" s="59">
        <v>12.805564305157628</v>
      </c>
      <c r="Y12" s="59">
        <v>216.6592769951759</v>
      </c>
      <c r="Z12" s="59">
        <v>315.59624256030975</v>
      </c>
      <c r="AA12" s="59">
        <v>45.746167911362775</v>
      </c>
      <c r="AB12" s="59">
        <v>59.688692009342759</v>
      </c>
      <c r="AC12" s="59">
        <v>270.86110170899144</v>
      </c>
      <c r="AD12" s="59">
        <v>1117.7682358077418</v>
      </c>
      <c r="AE12" s="59">
        <v>0</v>
      </c>
      <c r="AF12" s="59">
        <v>3.3985985183416898</v>
      </c>
      <c r="AG12" s="59">
        <v>0</v>
      </c>
    </row>
    <row r="13" spans="1:33" s="28" customFormat="1" ht="15" customHeight="1" x14ac:dyDescent="0.25">
      <c r="A13" s="4" t="s">
        <v>7</v>
      </c>
      <c r="B13" s="59">
        <v>18.627244818438477</v>
      </c>
      <c r="C13" s="59">
        <v>52.982050446226943</v>
      </c>
      <c r="D13" s="59">
        <v>3.7922263799869258</v>
      </c>
      <c r="E13" s="59">
        <v>7.3950925751957826</v>
      </c>
      <c r="F13" s="59">
        <v>17.229835906252855</v>
      </c>
      <c r="G13" s="59">
        <v>14.036567437909099</v>
      </c>
      <c r="H13" s="59">
        <v>0.26367324004530912</v>
      </c>
      <c r="I13" s="59">
        <v>0</v>
      </c>
      <c r="J13" s="59">
        <v>0.16906880561137724</v>
      </c>
      <c r="K13" s="59">
        <v>0.20971577649728201</v>
      </c>
      <c r="L13" s="59">
        <v>1.4993224364715281</v>
      </c>
      <c r="M13" s="59">
        <v>0.18150239473528665</v>
      </c>
      <c r="N13" s="59">
        <v>2.2840442983912492</v>
      </c>
      <c r="O13" s="59">
        <v>2.6989525988257346</v>
      </c>
      <c r="P13" s="59">
        <v>4.1996045453180386</v>
      </c>
      <c r="Q13" s="59">
        <v>67.086285284019098</v>
      </c>
      <c r="R13" s="59">
        <v>132.78101898372827</v>
      </c>
      <c r="S13" s="59">
        <v>39.252052495059878</v>
      </c>
      <c r="T13" s="59">
        <v>33.385578396092413</v>
      </c>
      <c r="U13" s="59">
        <v>17.102030525197037</v>
      </c>
      <c r="V13" s="59">
        <v>100</v>
      </c>
      <c r="W13" s="59">
        <v>1.9462021168122141E-2</v>
      </c>
      <c r="X13" s="59">
        <v>12.744309224573341</v>
      </c>
      <c r="Y13" s="59">
        <v>17.608824880751392</v>
      </c>
      <c r="Z13" s="59">
        <v>0</v>
      </c>
      <c r="AA13" s="59">
        <v>2.6631494944343461</v>
      </c>
      <c r="AB13" s="59">
        <v>36.049439513248892</v>
      </c>
      <c r="AC13" s="59">
        <v>146.71586888986087</v>
      </c>
      <c r="AD13" s="59">
        <v>58.389221352452033</v>
      </c>
      <c r="AE13" s="59">
        <v>0.24863960528131218</v>
      </c>
      <c r="AF13" s="59">
        <v>6.9823401607235464E-2</v>
      </c>
      <c r="AG13" s="59">
        <v>1.7637543058692273</v>
      </c>
    </row>
    <row r="14" spans="1:33" s="28" customFormat="1" ht="15" customHeight="1" x14ac:dyDescent="0.25">
      <c r="A14" s="52" t="s">
        <v>56</v>
      </c>
      <c r="B14" s="59">
        <v>31.351685168127808</v>
      </c>
      <c r="C14" s="59">
        <v>36729.144314777259</v>
      </c>
      <c r="D14" s="59">
        <v>2195.4790790782395</v>
      </c>
      <c r="E14" s="59">
        <v>465.16777783505603</v>
      </c>
      <c r="F14" s="59">
        <v>17996.117160741738</v>
      </c>
      <c r="G14" s="59">
        <v>29092.855992846253</v>
      </c>
      <c r="H14" s="59">
        <v>8531.1985795906421</v>
      </c>
      <c r="I14" s="59">
        <v>0</v>
      </c>
      <c r="J14" s="59">
        <v>135.35255151684169</v>
      </c>
      <c r="K14" s="59">
        <v>73.633852967803023</v>
      </c>
      <c r="L14" s="59">
        <v>5107.4093414036643</v>
      </c>
      <c r="M14" s="59">
        <v>29384.343820923488</v>
      </c>
      <c r="N14" s="59">
        <v>0</v>
      </c>
      <c r="O14" s="59">
        <v>12.772182459620339</v>
      </c>
      <c r="P14" s="59">
        <v>21723.20384179016</v>
      </c>
      <c r="Q14" s="59">
        <v>50305.126215934943</v>
      </c>
      <c r="R14" s="59">
        <v>3761.8883579636704</v>
      </c>
      <c r="S14" s="59">
        <v>42.180984244865314</v>
      </c>
      <c r="T14" s="59">
        <v>2674.3714446843524</v>
      </c>
      <c r="U14" s="59">
        <v>9719.7624170805393</v>
      </c>
      <c r="V14" s="59">
        <v>100</v>
      </c>
      <c r="W14" s="59">
        <v>0</v>
      </c>
      <c r="X14" s="59">
        <v>44084.374924503994</v>
      </c>
      <c r="Y14" s="59">
        <v>12.395295720808917</v>
      </c>
      <c r="Z14" s="59">
        <v>0</v>
      </c>
      <c r="AA14" s="59">
        <v>0</v>
      </c>
      <c r="AB14" s="59">
        <v>0</v>
      </c>
      <c r="AC14" s="59">
        <v>0</v>
      </c>
      <c r="AD14" s="59">
        <v>533.76779220988715</v>
      </c>
      <c r="AE14" s="59">
        <v>0</v>
      </c>
      <c r="AF14" s="59">
        <v>0</v>
      </c>
      <c r="AG14" s="59">
        <v>744.56983677841481</v>
      </c>
    </row>
    <row r="16" spans="1:33" ht="15" customHeight="1" x14ac:dyDescent="0.25">
      <c r="A16" s="13" t="s">
        <v>84</v>
      </c>
    </row>
    <row r="28" spans="3:4" ht="15" customHeight="1" x14ac:dyDescent="0.25">
      <c r="C28"/>
      <c r="D28"/>
    </row>
    <row r="29" spans="3:4" ht="15" customHeight="1" x14ac:dyDescent="0.25">
      <c r="C29"/>
      <c r="D29"/>
    </row>
    <row r="30" spans="3:4" ht="15" customHeight="1" x14ac:dyDescent="0.25">
      <c r="C30"/>
      <c r="D30"/>
    </row>
    <row r="31" spans="3:4" ht="15" customHeight="1" x14ac:dyDescent="0.25">
      <c r="C31"/>
      <c r="D31"/>
    </row>
    <row r="32" spans="3:4" ht="15" customHeight="1" x14ac:dyDescent="0.25">
      <c r="C32"/>
      <c r="D32"/>
    </row>
    <row r="33" spans="2:10" ht="15" customHeight="1" x14ac:dyDescent="0.25">
      <c r="C33"/>
      <c r="D33"/>
    </row>
    <row r="34" spans="2:10" ht="15" customHeight="1" x14ac:dyDescent="0.25">
      <c r="C34"/>
      <c r="D34"/>
    </row>
    <row r="35" spans="2:10" ht="15" customHeight="1" x14ac:dyDescent="0.25">
      <c r="C35"/>
      <c r="D35"/>
    </row>
    <row r="36" spans="2:10" ht="15" customHeight="1" x14ac:dyDescent="0.25">
      <c r="C36"/>
      <c r="D36"/>
    </row>
    <row r="37" spans="2:10" ht="15" customHeight="1" x14ac:dyDescent="0.25">
      <c r="B37"/>
      <c r="C37"/>
      <c r="D37"/>
    </row>
    <row r="38" spans="2:10" ht="15" customHeight="1" x14ac:dyDescent="0.25">
      <c r="B38"/>
      <c r="C38"/>
      <c r="D38"/>
    </row>
    <row r="39" spans="2:10" ht="15" customHeight="1" x14ac:dyDescent="0.25">
      <c r="B39"/>
      <c r="C39"/>
      <c r="D39"/>
    </row>
    <row r="40" spans="2:10" ht="15" customHeight="1" x14ac:dyDescent="0.25">
      <c r="B40"/>
      <c r="C40"/>
      <c r="D40"/>
    </row>
    <row r="41" spans="2:10" ht="15" customHeight="1" x14ac:dyDescent="0.25">
      <c r="B41"/>
      <c r="C41"/>
      <c r="D41"/>
    </row>
    <row r="42" spans="2:10" ht="11.25" customHeight="1" x14ac:dyDescent="0.25">
      <c r="B42"/>
      <c r="C42"/>
      <c r="D42"/>
    </row>
    <row r="43" spans="2:10" ht="15" hidden="1" customHeight="1" x14ac:dyDescent="0.25">
      <c r="B43"/>
      <c r="C43"/>
      <c r="D43"/>
    </row>
    <row r="44" spans="2:10" ht="15" hidden="1" customHeight="1" x14ac:dyDescent="0.25">
      <c r="B44"/>
      <c r="C44"/>
      <c r="D44"/>
    </row>
    <row r="45" spans="2:10" ht="15" hidden="1" customHeight="1" x14ac:dyDescent="0.25">
      <c r="B45" s="39" t="s">
        <v>34</v>
      </c>
      <c r="C45"/>
      <c r="D45"/>
      <c r="E45"/>
      <c r="F45"/>
      <c r="G45"/>
      <c r="H45"/>
      <c r="I45"/>
      <c r="J45"/>
    </row>
    <row r="46" spans="2:10" ht="15" hidden="1" customHeight="1" x14ac:dyDescent="0.25">
      <c r="B46" s="40" t="s">
        <v>41</v>
      </c>
      <c r="C46" s="41">
        <v>100</v>
      </c>
      <c r="D46"/>
      <c r="E46"/>
      <c r="F46"/>
      <c r="G46"/>
      <c r="H46"/>
      <c r="I46"/>
      <c r="J46"/>
    </row>
    <row r="47" spans="2:10" ht="15" hidden="1" customHeight="1" x14ac:dyDescent="0.25">
      <c r="B47" s="40" t="s">
        <v>40</v>
      </c>
      <c r="C47" s="41">
        <v>0</v>
      </c>
      <c r="D47"/>
      <c r="E47"/>
      <c r="F47"/>
      <c r="G47"/>
      <c r="H47"/>
      <c r="I47"/>
      <c r="J47"/>
    </row>
    <row r="48" spans="2:10" ht="15" hidden="1" customHeight="1" x14ac:dyDescent="0.25">
      <c r="B48" s="40" t="s">
        <v>39</v>
      </c>
      <c r="C48" s="41">
        <v>948.75358307292959</v>
      </c>
      <c r="D48"/>
      <c r="E48"/>
      <c r="F48"/>
      <c r="G48"/>
      <c r="H48"/>
      <c r="I48"/>
      <c r="J48"/>
    </row>
    <row r="49" spans="2:10" ht="15" hidden="1" customHeight="1" x14ac:dyDescent="0.25">
      <c r="B49" s="40" t="s">
        <v>38</v>
      </c>
      <c r="C49" s="41">
        <v>849.18983705469088</v>
      </c>
      <c r="D49"/>
      <c r="E49"/>
      <c r="F49"/>
      <c r="G49"/>
      <c r="H49"/>
      <c r="I49"/>
      <c r="J49"/>
    </row>
    <row r="50" spans="2:10" ht="15" hidden="1" customHeight="1" x14ac:dyDescent="0.25">
      <c r="B50" s="40" t="s">
        <v>37</v>
      </c>
      <c r="C50" s="41">
        <v>163.88094498015658</v>
      </c>
      <c r="D50"/>
      <c r="E50"/>
      <c r="F50"/>
      <c r="G50"/>
      <c r="H50"/>
      <c r="I50"/>
      <c r="J50"/>
    </row>
    <row r="51" spans="2:10" ht="15" hidden="1" customHeight="1" x14ac:dyDescent="0.25">
      <c r="B51" s="40" t="s">
        <v>36</v>
      </c>
      <c r="C51" s="41">
        <v>235.85958544523351</v>
      </c>
      <c r="D51"/>
      <c r="E51"/>
      <c r="F51"/>
      <c r="G51"/>
      <c r="H51"/>
      <c r="I51"/>
      <c r="J51"/>
    </row>
    <row r="52" spans="2:10" ht="15" hidden="1" customHeight="1" x14ac:dyDescent="0.25">
      <c r="B52" s="40" t="s">
        <v>35</v>
      </c>
      <c r="C52" s="41">
        <v>218.73621650002224</v>
      </c>
      <c r="D52"/>
      <c r="E52"/>
      <c r="F52"/>
      <c r="G52"/>
      <c r="H52"/>
      <c r="I52"/>
      <c r="J52"/>
    </row>
    <row r="53" spans="2:10" ht="15" hidden="1" customHeight="1" x14ac:dyDescent="0.25">
      <c r="B53" s="40" t="s">
        <v>57</v>
      </c>
      <c r="C53" s="41">
        <v>682.89809945114985</v>
      </c>
      <c r="D53"/>
      <c r="E53"/>
      <c r="F53"/>
      <c r="G53"/>
      <c r="H53"/>
      <c r="I53"/>
      <c r="J53"/>
    </row>
    <row r="54" spans="2:10" ht="15" hidden="1" customHeight="1" x14ac:dyDescent="0.25">
      <c r="B54" s="40" t="s">
        <v>58</v>
      </c>
      <c r="C54" s="41">
        <v>134.71770473683856</v>
      </c>
    </row>
    <row r="55" spans="2:10" ht="15" hidden="1" customHeight="1" x14ac:dyDescent="0.25">
      <c r="B55" s="40" t="s">
        <v>59</v>
      </c>
      <c r="C55" s="41">
        <v>60.091975027384656</v>
      </c>
    </row>
    <row r="56" spans="2:10" ht="3.75" customHeight="1" x14ac:dyDescent="0.25">
      <c r="B56" s="40" t="s">
        <v>66</v>
      </c>
      <c r="C56" s="41">
        <v>28.065121930111523</v>
      </c>
    </row>
    <row r="57" spans="2:10" ht="15" hidden="1" customHeight="1" x14ac:dyDescent="0.25">
      <c r="B57" s="40" t="s">
        <v>85</v>
      </c>
      <c r="C57" s="41">
        <v>0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showGridLines="0"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30" style="25" customWidth="1"/>
    <col min="2" max="28" width="8.28515625" style="25" customWidth="1"/>
    <col min="29" max="16384" width="11.42578125" style="25"/>
  </cols>
  <sheetData>
    <row r="1" spans="1:32" ht="15" customHeight="1" x14ac:dyDescent="0.2">
      <c r="A1" s="53">
        <v>46053</v>
      </c>
    </row>
    <row r="2" spans="1:32" ht="15" customHeight="1" x14ac:dyDescent="0.25">
      <c r="A2" s="21" t="s">
        <v>23</v>
      </c>
    </row>
    <row r="3" spans="1:32" ht="15" customHeight="1" x14ac:dyDescent="0.25">
      <c r="A3" s="19" t="s">
        <v>24</v>
      </c>
    </row>
    <row r="4" spans="1:32" ht="15" customHeight="1" x14ac:dyDescent="0.25">
      <c r="A4" s="14" t="s">
        <v>13</v>
      </c>
      <c r="B4" s="14"/>
      <c r="C4" s="14"/>
    </row>
    <row r="5" spans="1:32" ht="15" customHeight="1" x14ac:dyDescent="0.25">
      <c r="A5" s="14"/>
      <c r="B5" s="14"/>
      <c r="C5" s="14"/>
    </row>
    <row r="6" spans="1:32" s="28" customFormat="1" ht="15" customHeight="1" x14ac:dyDescent="0.25">
      <c r="A6" s="1" t="s">
        <v>18</v>
      </c>
      <c r="B6" s="6">
        <v>1995</v>
      </c>
      <c r="C6" s="6">
        <v>1996</v>
      </c>
      <c r="D6" s="6">
        <v>1997</v>
      </c>
      <c r="E6" s="6">
        <v>1998</v>
      </c>
      <c r="F6" s="6">
        <v>1999</v>
      </c>
      <c r="G6" s="6">
        <v>2000</v>
      </c>
      <c r="H6" s="6">
        <v>2001</v>
      </c>
      <c r="I6" s="6">
        <v>2002</v>
      </c>
      <c r="J6" s="6">
        <v>2003</v>
      </c>
      <c r="K6" s="6">
        <v>2004</v>
      </c>
      <c r="L6" s="6">
        <v>2005</v>
      </c>
      <c r="M6" s="6">
        <v>2006</v>
      </c>
      <c r="N6" s="6">
        <v>2007</v>
      </c>
      <c r="O6" s="6">
        <v>2008</v>
      </c>
      <c r="P6" s="6">
        <v>2009</v>
      </c>
      <c r="Q6" s="6">
        <v>2010</v>
      </c>
      <c r="R6" s="6">
        <v>2011</v>
      </c>
      <c r="S6" s="6">
        <v>2012</v>
      </c>
      <c r="T6" s="6">
        <v>2013</v>
      </c>
      <c r="U6" s="6">
        <v>2014</v>
      </c>
      <c r="V6" s="7">
        <v>2015</v>
      </c>
      <c r="W6" s="7">
        <v>2016</v>
      </c>
      <c r="X6" s="7">
        <v>2017</v>
      </c>
      <c r="Y6" s="7">
        <v>2018</v>
      </c>
      <c r="Z6" s="7">
        <v>2019</v>
      </c>
      <c r="AA6" s="7">
        <v>2020</v>
      </c>
      <c r="AB6" s="8">
        <v>2021</v>
      </c>
      <c r="AC6" s="7">
        <v>2022</v>
      </c>
      <c r="AD6" s="8">
        <v>2023</v>
      </c>
      <c r="AE6" s="7">
        <v>2024</v>
      </c>
      <c r="AF6" s="56">
        <v>2025</v>
      </c>
    </row>
    <row r="7" spans="1:32" s="28" customFormat="1" ht="15" customHeight="1" x14ac:dyDescent="0.25">
      <c r="A7" s="4" t="s">
        <v>1</v>
      </c>
      <c r="B7" s="5">
        <v>31.180329061435454</v>
      </c>
      <c r="C7" s="5">
        <v>36.807343102134773</v>
      </c>
      <c r="D7" s="5">
        <v>41.120439342161397</v>
      </c>
      <c r="E7" s="5">
        <v>43.648132239091311</v>
      </c>
      <c r="F7" s="5">
        <v>37.691503845447251</v>
      </c>
      <c r="G7" s="5">
        <v>33.88670335351916</v>
      </c>
      <c r="H7" s="5">
        <v>25.910452280239507</v>
      </c>
      <c r="I7" s="5">
        <v>16.886435040057108</v>
      </c>
      <c r="J7" s="5">
        <v>23.065133237941396</v>
      </c>
      <c r="K7" s="5">
        <v>41.652789880214534</v>
      </c>
      <c r="L7" s="5">
        <v>66.435747445575672</v>
      </c>
      <c r="M7" s="5">
        <v>99.073843893214104</v>
      </c>
      <c r="N7" s="5">
        <v>110.29279008305537</v>
      </c>
      <c r="O7" s="5">
        <v>116.36944688952362</v>
      </c>
      <c r="P7" s="5">
        <v>117.25661755512648</v>
      </c>
      <c r="Q7" s="5">
        <v>122.56059895581465</v>
      </c>
      <c r="R7" s="5">
        <v>128.22150316164502</v>
      </c>
      <c r="S7" s="5">
        <v>104.44812816992057</v>
      </c>
      <c r="T7" s="5">
        <v>148.3531719227847</v>
      </c>
      <c r="U7" s="5">
        <v>127.74841899323171</v>
      </c>
      <c r="V7" s="5">
        <v>100</v>
      </c>
      <c r="W7" s="5">
        <v>96.614697893154997</v>
      </c>
      <c r="X7" s="5">
        <v>122.9614176005479</v>
      </c>
      <c r="Y7" s="5">
        <v>118.46043032377</v>
      </c>
      <c r="Z7" s="5">
        <v>74.503779413933003</v>
      </c>
      <c r="AA7" s="5">
        <v>46.478027185387695</v>
      </c>
      <c r="AB7" s="5">
        <v>85.508800841889993</v>
      </c>
      <c r="AC7" s="5">
        <v>65.367086000686683</v>
      </c>
      <c r="AD7" s="5">
        <v>59.593472836660766</v>
      </c>
      <c r="AE7" s="5">
        <v>10.438267374564521</v>
      </c>
      <c r="AF7" s="5">
        <v>14.446642470546333</v>
      </c>
    </row>
    <row r="8" spans="1:32" s="28" customFormat="1" ht="15" customHeight="1" x14ac:dyDescent="0.25">
      <c r="A8" s="4" t="s">
        <v>2</v>
      </c>
      <c r="B8" s="5">
        <v>5.4864712244747436</v>
      </c>
      <c r="C8" s="5">
        <v>6.6873229917591281</v>
      </c>
      <c r="D8" s="5">
        <v>5.2934720311191308</v>
      </c>
      <c r="E8" s="5">
        <v>3.2542895838243715</v>
      </c>
      <c r="F8" s="5">
        <v>3.0298785591172033</v>
      </c>
      <c r="G8" s="5">
        <v>3.737703072153777</v>
      </c>
      <c r="H8" s="5">
        <v>3.8965201366774616</v>
      </c>
      <c r="I8" s="5">
        <v>3.4427248937917692</v>
      </c>
      <c r="J8" s="5">
        <v>3.0632085065927108</v>
      </c>
      <c r="K8" s="5">
        <v>3.5450950435200745</v>
      </c>
      <c r="L8" s="5">
        <v>19.825334486544268</v>
      </c>
      <c r="M8" s="5">
        <v>35.160488978381558</v>
      </c>
      <c r="N8" s="5">
        <v>36.140578253339918</v>
      </c>
      <c r="O8" s="5">
        <v>59.855115132535481</v>
      </c>
      <c r="P8" s="5">
        <v>42.162316053442765</v>
      </c>
      <c r="Q8" s="5">
        <v>64.565796215647126</v>
      </c>
      <c r="R8" s="5">
        <v>55.350342755465405</v>
      </c>
      <c r="S8" s="5">
        <v>106.26839998838295</v>
      </c>
      <c r="T8" s="5">
        <v>98.564109099394969</v>
      </c>
      <c r="U8" s="5">
        <v>182.27235253980609</v>
      </c>
      <c r="V8" s="5">
        <v>100</v>
      </c>
      <c r="W8" s="5">
        <v>51.756065396166093</v>
      </c>
      <c r="X8" s="5">
        <v>39.677617579138278</v>
      </c>
      <c r="Y8" s="5">
        <v>26.179018383495258</v>
      </c>
      <c r="Z8" s="5">
        <v>8.1244952474979915</v>
      </c>
      <c r="AA8" s="5">
        <v>14.061697197516402</v>
      </c>
      <c r="AB8" s="5">
        <v>57.177938987990501</v>
      </c>
      <c r="AC8" s="5">
        <v>22.732649964824652</v>
      </c>
      <c r="AD8" s="5">
        <v>39.686033854315497</v>
      </c>
      <c r="AE8" s="5">
        <v>19.886918316880323</v>
      </c>
      <c r="AF8" s="5">
        <v>8.0340227668549602</v>
      </c>
    </row>
    <row r="9" spans="1:32" s="28" customFormat="1" ht="15" customHeight="1" x14ac:dyDescent="0.25">
      <c r="A9" s="4" t="s">
        <v>3</v>
      </c>
      <c r="B9" s="5">
        <v>1.7441526285865505</v>
      </c>
      <c r="C9" s="5">
        <v>4.0180981170425429</v>
      </c>
      <c r="D9" s="5">
        <v>7.2016096122443072</v>
      </c>
      <c r="E9" s="5">
        <v>8.1798406537469344</v>
      </c>
      <c r="F9" s="5">
        <v>6.7011037058244067</v>
      </c>
      <c r="G9" s="5">
        <v>5.1021325710251011</v>
      </c>
      <c r="H9" s="5">
        <v>4.1340928456093637</v>
      </c>
      <c r="I9" s="5">
        <v>3.0403830285764384</v>
      </c>
      <c r="J9" s="5">
        <v>11.135862905372868</v>
      </c>
      <c r="K9" s="5">
        <v>17.201909360490916</v>
      </c>
      <c r="L9" s="5">
        <v>21.72692672780142</v>
      </c>
      <c r="M9" s="5">
        <v>36.410181197860965</v>
      </c>
      <c r="N9" s="5">
        <v>48.311043117885802</v>
      </c>
      <c r="O9" s="5">
        <v>61.479963860083288</v>
      </c>
      <c r="P9" s="5">
        <v>71.590400040976746</v>
      </c>
      <c r="Q9" s="5">
        <v>68.199349225671796</v>
      </c>
      <c r="R9" s="5">
        <v>88.442002503332034</v>
      </c>
      <c r="S9" s="5">
        <v>105.03187303031589</v>
      </c>
      <c r="T9" s="5">
        <v>115.73520595747586</v>
      </c>
      <c r="U9" s="5">
        <v>113.99635473936586</v>
      </c>
      <c r="V9" s="5">
        <v>100</v>
      </c>
      <c r="W9" s="5">
        <v>90.581233143032492</v>
      </c>
      <c r="X9" s="5">
        <v>80.893817296616504</v>
      </c>
      <c r="Y9" s="5">
        <v>74.702352473674978</v>
      </c>
      <c r="Z9" s="5">
        <v>52.401377642053937</v>
      </c>
      <c r="AA9" s="5">
        <v>117.35375335745263</v>
      </c>
      <c r="AB9" s="5">
        <v>200.68320211855089</v>
      </c>
      <c r="AC9" s="5">
        <v>95.477178196926218</v>
      </c>
      <c r="AD9" s="5">
        <v>90.990182730219146</v>
      </c>
      <c r="AE9" s="5">
        <v>15.862205147009817</v>
      </c>
      <c r="AF9" s="5">
        <v>9.4384109366703708</v>
      </c>
    </row>
    <row r="10" spans="1:32" s="28" customFormat="1" ht="15" customHeight="1" x14ac:dyDescent="0.25">
      <c r="A10" s="4" t="s">
        <v>4</v>
      </c>
      <c r="B10" s="5">
        <v>51.276857540228164</v>
      </c>
      <c r="C10" s="5">
        <v>48.810044011002795</v>
      </c>
      <c r="D10" s="5">
        <v>49.140601707327725</v>
      </c>
      <c r="E10" s="5">
        <v>48.2944454931298</v>
      </c>
      <c r="F10" s="5">
        <v>38.911369507045357</v>
      </c>
      <c r="G10" s="5">
        <v>49.305938231726046</v>
      </c>
      <c r="H10" s="5">
        <v>37.819331691168436</v>
      </c>
      <c r="I10" s="5">
        <v>22.770858002620898</v>
      </c>
      <c r="J10" s="5">
        <v>27.640652177731276</v>
      </c>
      <c r="K10" s="5">
        <v>41.292684812852706</v>
      </c>
      <c r="L10" s="5">
        <v>100.96288421174731</v>
      </c>
      <c r="M10" s="5">
        <v>122.38985257391541</v>
      </c>
      <c r="N10" s="5">
        <v>82.490925385506927</v>
      </c>
      <c r="O10" s="5">
        <v>80.831245223797168</v>
      </c>
      <c r="P10" s="5">
        <v>101.20443357810436</v>
      </c>
      <c r="Q10" s="5">
        <v>80.262644728959174</v>
      </c>
      <c r="R10" s="5">
        <v>73.328427533982932</v>
      </c>
      <c r="S10" s="5">
        <v>51.008133472579594</v>
      </c>
      <c r="T10" s="5">
        <v>72.427012478339876</v>
      </c>
      <c r="U10" s="5">
        <v>86.335515667628897</v>
      </c>
      <c r="V10" s="5">
        <v>100</v>
      </c>
      <c r="W10" s="5">
        <v>48.019401933583737</v>
      </c>
      <c r="X10" s="5">
        <v>48.226972237134682</v>
      </c>
      <c r="Y10" s="5">
        <v>72.54630003606087</v>
      </c>
      <c r="Z10" s="5">
        <v>38.522722077743715</v>
      </c>
      <c r="AA10" s="5">
        <v>25.584318746159614</v>
      </c>
      <c r="AB10" s="5">
        <v>183.07416045685116</v>
      </c>
      <c r="AC10" s="5">
        <v>96.605784465011041</v>
      </c>
      <c r="AD10" s="5">
        <v>54.373086341720253</v>
      </c>
      <c r="AE10" s="5">
        <v>10.002318282379228</v>
      </c>
      <c r="AF10" s="5">
        <v>0.64752822893851225</v>
      </c>
    </row>
    <row r="11" spans="1:32" s="28" customFormat="1" ht="15" customHeight="1" x14ac:dyDescent="0.25">
      <c r="A11" s="4" t="s">
        <v>5</v>
      </c>
      <c r="B11" s="5">
        <v>8.7841382014069715</v>
      </c>
      <c r="C11" s="5">
        <v>9.4229060745026079</v>
      </c>
      <c r="D11" s="5">
        <v>11.421559607998681</v>
      </c>
      <c r="E11" s="5">
        <v>11.69154742162892</v>
      </c>
      <c r="F11" s="5">
        <v>5.6379627430133326</v>
      </c>
      <c r="G11" s="5">
        <v>4.1277340737463675</v>
      </c>
      <c r="H11" s="5">
        <v>3.2146359558391508</v>
      </c>
      <c r="I11" s="5">
        <v>2.9030292698421136</v>
      </c>
      <c r="J11" s="5">
        <v>6.3607441751047684</v>
      </c>
      <c r="K11" s="5">
        <v>10.11848637852726</v>
      </c>
      <c r="L11" s="5">
        <v>16.78315327876</v>
      </c>
      <c r="M11" s="5">
        <v>22.227895788212763</v>
      </c>
      <c r="N11" s="5">
        <v>26.273380292987447</v>
      </c>
      <c r="O11" s="5">
        <v>29.1250886960641</v>
      </c>
      <c r="P11" s="5">
        <v>39.57548150384406</v>
      </c>
      <c r="Q11" s="5">
        <v>42.340194442341442</v>
      </c>
      <c r="R11" s="5">
        <v>46.202759293054761</v>
      </c>
      <c r="S11" s="5">
        <v>58.131097272739645</v>
      </c>
      <c r="T11" s="5">
        <v>67.9695689467911</v>
      </c>
      <c r="U11" s="5">
        <v>85.790221088232371</v>
      </c>
      <c r="V11" s="5">
        <v>100</v>
      </c>
      <c r="W11" s="5">
        <v>63.292751556658914</v>
      </c>
      <c r="X11" s="5">
        <v>76.488201738373689</v>
      </c>
      <c r="Y11" s="5">
        <v>43.787720911812031</v>
      </c>
      <c r="Z11" s="5">
        <v>25.44964504057037</v>
      </c>
      <c r="AA11" s="5">
        <v>25.004893214248568</v>
      </c>
      <c r="AB11" s="5">
        <v>49.038902593274727</v>
      </c>
      <c r="AC11" s="5">
        <v>67.686887734824097</v>
      </c>
      <c r="AD11" s="5">
        <v>59.116333456107029</v>
      </c>
      <c r="AE11" s="5">
        <v>19.529125895376058</v>
      </c>
      <c r="AF11" s="5">
        <v>17.884415131512206</v>
      </c>
    </row>
    <row r="12" spans="1:32" s="28" customFormat="1" ht="15" customHeight="1" x14ac:dyDescent="0.25">
      <c r="A12" s="4" t="s">
        <v>6</v>
      </c>
      <c r="B12" s="5">
        <v>18.164807854124316</v>
      </c>
      <c r="C12" s="5">
        <v>19.820999714607716</v>
      </c>
      <c r="D12" s="5">
        <v>31.68842416574719</v>
      </c>
      <c r="E12" s="5">
        <v>29.698970779816442</v>
      </c>
      <c r="F12" s="5">
        <v>10.322750242223625</v>
      </c>
      <c r="G12" s="5">
        <v>6.2786440618392714</v>
      </c>
      <c r="H12" s="5">
        <v>7.573686446038959</v>
      </c>
      <c r="I12" s="5">
        <v>4.9018690522630104</v>
      </c>
      <c r="J12" s="5">
        <v>7.1371406511093927</v>
      </c>
      <c r="K12" s="5">
        <v>11.092426458061192</v>
      </c>
      <c r="L12" s="5">
        <v>20.656313798544513</v>
      </c>
      <c r="M12" s="5">
        <v>44.920360225790205</v>
      </c>
      <c r="N12" s="5">
        <v>53.823798795180316</v>
      </c>
      <c r="O12" s="5">
        <v>42.474249351459079</v>
      </c>
      <c r="P12" s="5">
        <v>52.619344905122958</v>
      </c>
      <c r="Q12" s="5">
        <v>58.307321553274477</v>
      </c>
      <c r="R12" s="5">
        <v>124.18517234102653</v>
      </c>
      <c r="S12" s="5">
        <v>72.708936489052476</v>
      </c>
      <c r="T12" s="5">
        <v>116.96243258039395</v>
      </c>
      <c r="U12" s="5">
        <v>109.076455087318</v>
      </c>
      <c r="V12" s="5">
        <v>100</v>
      </c>
      <c r="W12" s="5">
        <v>63.108245085329941</v>
      </c>
      <c r="X12" s="5">
        <v>60.705955505891531</v>
      </c>
      <c r="Y12" s="5">
        <v>39.183383049459579</v>
      </c>
      <c r="Z12" s="5">
        <v>23.698411898014129</v>
      </c>
      <c r="AA12" s="5">
        <v>18.369936792876743</v>
      </c>
      <c r="AB12" s="5">
        <v>76.908460921038014</v>
      </c>
      <c r="AC12" s="5">
        <v>65.127439156602037</v>
      </c>
      <c r="AD12" s="5">
        <v>60.762892375037602</v>
      </c>
      <c r="AE12" s="5">
        <v>6.0642605484653984</v>
      </c>
      <c r="AF12" s="5">
        <v>15.543068169908912</v>
      </c>
    </row>
    <row r="13" spans="1:32" s="28" customFormat="1" ht="15" customHeight="1" x14ac:dyDescent="0.25">
      <c r="A13" s="4" t="s">
        <v>7</v>
      </c>
      <c r="B13" s="5">
        <v>60.380534829697389</v>
      </c>
      <c r="C13" s="5">
        <v>185.2729700428979</v>
      </c>
      <c r="D13" s="5">
        <v>65.972182119393878</v>
      </c>
      <c r="E13" s="5">
        <v>45.627370565807738</v>
      </c>
      <c r="F13" s="5">
        <v>54.178910513274452</v>
      </c>
      <c r="G13" s="5">
        <v>29.512074186096932</v>
      </c>
      <c r="H13" s="5">
        <v>7.2953786093664235</v>
      </c>
      <c r="I13" s="5">
        <v>6.3707628371163967</v>
      </c>
      <c r="J13" s="5">
        <v>36.689854983229218</v>
      </c>
      <c r="K13" s="5">
        <v>79.081551793588545</v>
      </c>
      <c r="L13" s="5">
        <v>59.043303165858617</v>
      </c>
      <c r="M13" s="5">
        <v>44.765364371278274</v>
      </c>
      <c r="N13" s="5">
        <v>63.435237572005683</v>
      </c>
      <c r="O13" s="5">
        <v>81.378473816922991</v>
      </c>
      <c r="P13" s="5">
        <v>133.62864986354271</v>
      </c>
      <c r="Q13" s="5">
        <v>96.47886939135762</v>
      </c>
      <c r="R13" s="5">
        <v>125.14593588737972</v>
      </c>
      <c r="S13" s="5">
        <v>100.29540614687448</v>
      </c>
      <c r="T13" s="5">
        <v>162.83906871927141</v>
      </c>
      <c r="U13" s="5">
        <v>128.01982256595821</v>
      </c>
      <c r="V13" s="5">
        <v>100</v>
      </c>
      <c r="W13" s="5">
        <v>84.9729286545805</v>
      </c>
      <c r="X13" s="5">
        <v>51.925959593718801</v>
      </c>
      <c r="Y13" s="5">
        <v>50.452148323743245</v>
      </c>
      <c r="Z13" s="5">
        <v>14.271394118432939</v>
      </c>
      <c r="AA13" s="5">
        <v>260.07715522599375</v>
      </c>
      <c r="AB13" s="5">
        <v>237.50640035382528</v>
      </c>
      <c r="AC13" s="5">
        <v>143.81906555617599</v>
      </c>
      <c r="AD13" s="5">
        <v>86.031969393249042</v>
      </c>
      <c r="AE13" s="5">
        <v>52.690005417739513</v>
      </c>
      <c r="AF13" s="5">
        <v>23.223943020419384</v>
      </c>
    </row>
    <row r="14" spans="1:32" s="28" customFormat="1" ht="15" customHeight="1" x14ac:dyDescent="0.25">
      <c r="A14" s="52" t="s">
        <v>56</v>
      </c>
      <c r="B14" s="5">
        <v>27.222539345222941</v>
      </c>
      <c r="C14" s="5">
        <v>21.557032849418764</v>
      </c>
      <c r="D14" s="5">
        <v>40.636093637084514</v>
      </c>
      <c r="E14" s="5">
        <v>59.514280389800064</v>
      </c>
      <c r="F14" s="5">
        <v>134.84677747979137</v>
      </c>
      <c r="G14" s="5">
        <v>44.101738351264203</v>
      </c>
      <c r="H14" s="5">
        <v>27.79347309566031</v>
      </c>
      <c r="I14" s="5">
        <v>19.185930266492555</v>
      </c>
      <c r="J14" s="5">
        <v>18.530948177840024</v>
      </c>
      <c r="K14" s="5">
        <v>22.074564640217631</v>
      </c>
      <c r="L14" s="5">
        <v>44.231598065198881</v>
      </c>
      <c r="M14" s="5">
        <v>50.639976067717299</v>
      </c>
      <c r="N14" s="5">
        <v>72.449806166687466</v>
      </c>
      <c r="O14" s="5">
        <v>80.591845486384685</v>
      </c>
      <c r="P14" s="5">
        <v>64.017794519522084</v>
      </c>
      <c r="Q14" s="5">
        <v>85.392270535117589</v>
      </c>
      <c r="R14" s="5">
        <v>53.219241236355522</v>
      </c>
      <c r="S14" s="5">
        <v>44.016016877874883</v>
      </c>
      <c r="T14" s="5">
        <v>89.562474356691254</v>
      </c>
      <c r="U14" s="5">
        <v>125.40123747707267</v>
      </c>
      <c r="V14" s="5">
        <v>100</v>
      </c>
      <c r="W14" s="5">
        <v>72.512792978463096</v>
      </c>
      <c r="X14" s="5">
        <v>105.32408659359835</v>
      </c>
      <c r="Y14" s="5">
        <v>96.653913440011408</v>
      </c>
      <c r="Z14" s="5">
        <v>37.007501500285066</v>
      </c>
      <c r="AA14" s="5">
        <v>38.692848950446368</v>
      </c>
      <c r="AB14" s="5">
        <v>113.90402675093397</v>
      </c>
      <c r="AC14" s="5">
        <v>85.711549523163214</v>
      </c>
      <c r="AD14" s="5">
        <v>57.627286289641262</v>
      </c>
      <c r="AE14" s="5">
        <v>27.240085151725559</v>
      </c>
      <c r="AF14" s="5">
        <v>20.175967999063978</v>
      </c>
    </row>
    <row r="16" spans="1:32" ht="15" customHeight="1" x14ac:dyDescent="0.25">
      <c r="A16" s="13" t="s">
        <v>84</v>
      </c>
    </row>
    <row r="28" spans="3:4" ht="15" customHeight="1" x14ac:dyDescent="0.25">
      <c r="C28"/>
      <c r="D28"/>
    </row>
    <row r="29" spans="3:4" ht="15" customHeight="1" x14ac:dyDescent="0.25">
      <c r="C29"/>
      <c r="D29"/>
    </row>
    <row r="30" spans="3:4" ht="15" customHeight="1" x14ac:dyDescent="0.25">
      <c r="C30"/>
      <c r="D30"/>
    </row>
    <row r="31" spans="3:4" ht="15" customHeight="1" x14ac:dyDescent="0.25">
      <c r="C31"/>
      <c r="D31"/>
    </row>
    <row r="32" spans="3:4" ht="15" customHeight="1" x14ac:dyDescent="0.25">
      <c r="C32"/>
      <c r="D32"/>
    </row>
    <row r="33" spans="2:10" ht="15" customHeight="1" x14ac:dyDescent="0.25">
      <c r="C33"/>
      <c r="D33"/>
    </row>
    <row r="34" spans="2:10" ht="15" customHeight="1" x14ac:dyDescent="0.25">
      <c r="C34"/>
      <c r="D34"/>
    </row>
    <row r="35" spans="2:10" ht="15" customHeight="1" x14ac:dyDescent="0.25">
      <c r="C35"/>
      <c r="D35"/>
    </row>
    <row r="36" spans="2:10" ht="15" customHeight="1" x14ac:dyDescent="0.25">
      <c r="C36"/>
      <c r="D36"/>
    </row>
    <row r="37" spans="2:10" ht="15" customHeight="1" x14ac:dyDescent="0.25">
      <c r="B37"/>
      <c r="C37"/>
      <c r="D37"/>
    </row>
    <row r="38" spans="2:10" ht="15" customHeight="1" x14ac:dyDescent="0.25">
      <c r="B38"/>
      <c r="C38"/>
      <c r="D38"/>
    </row>
    <row r="39" spans="2:10" ht="15" customHeight="1" x14ac:dyDescent="0.25">
      <c r="B39"/>
      <c r="C39"/>
      <c r="D39"/>
    </row>
    <row r="40" spans="2:10" ht="15" customHeight="1" x14ac:dyDescent="0.25">
      <c r="B40"/>
      <c r="C40"/>
      <c r="D40"/>
    </row>
    <row r="41" spans="2:10" ht="15" customHeight="1" x14ac:dyDescent="0.25">
      <c r="B41"/>
      <c r="C41"/>
      <c r="D41"/>
    </row>
    <row r="42" spans="2:10" ht="12.75" customHeight="1" x14ac:dyDescent="0.25">
      <c r="B42"/>
      <c r="C42"/>
      <c r="D42"/>
    </row>
    <row r="43" spans="2:10" ht="15" hidden="1" customHeight="1" x14ac:dyDescent="0.25">
      <c r="B43" s="39" t="s">
        <v>18</v>
      </c>
      <c r="C43" t="s">
        <v>3</v>
      </c>
      <c r="D43"/>
    </row>
    <row r="44" spans="2:10" ht="15" hidden="1" customHeight="1" x14ac:dyDescent="0.25">
      <c r="B44"/>
      <c r="C44"/>
      <c r="D44"/>
    </row>
    <row r="45" spans="2:10" ht="15" hidden="1" customHeight="1" x14ac:dyDescent="0.25">
      <c r="B45" s="39" t="s">
        <v>34</v>
      </c>
      <c r="C45"/>
      <c r="D45"/>
      <c r="E45"/>
      <c r="F45"/>
      <c r="G45"/>
      <c r="H45"/>
      <c r="I45"/>
      <c r="J45"/>
    </row>
    <row r="46" spans="2:10" ht="15" hidden="1" customHeight="1" x14ac:dyDescent="0.25">
      <c r="B46" s="40" t="s">
        <v>41</v>
      </c>
      <c r="C46" s="41">
        <v>100</v>
      </c>
      <c r="D46"/>
      <c r="E46"/>
      <c r="F46"/>
      <c r="G46"/>
      <c r="H46"/>
      <c r="I46"/>
      <c r="J46"/>
    </row>
    <row r="47" spans="2:10" ht="15" hidden="1" customHeight="1" x14ac:dyDescent="0.25">
      <c r="B47" s="40" t="s">
        <v>40</v>
      </c>
      <c r="C47" s="41">
        <v>90.581233143032492</v>
      </c>
      <c r="D47"/>
      <c r="E47"/>
      <c r="F47"/>
      <c r="G47"/>
      <c r="H47"/>
      <c r="I47"/>
      <c r="J47"/>
    </row>
    <row r="48" spans="2:10" ht="15" hidden="1" customHeight="1" x14ac:dyDescent="0.25">
      <c r="B48" s="40" t="s">
        <v>39</v>
      </c>
      <c r="C48" s="41">
        <v>80.893817296616504</v>
      </c>
      <c r="D48"/>
      <c r="E48"/>
      <c r="F48"/>
      <c r="G48"/>
      <c r="H48"/>
      <c r="I48"/>
      <c r="J48"/>
    </row>
    <row r="49" spans="2:10" ht="15" hidden="1" customHeight="1" x14ac:dyDescent="0.25">
      <c r="B49" s="40" t="s">
        <v>38</v>
      </c>
      <c r="C49" s="41">
        <v>74.702352473674978</v>
      </c>
      <c r="D49"/>
      <c r="E49"/>
      <c r="F49"/>
      <c r="G49"/>
      <c r="H49"/>
      <c r="I49"/>
      <c r="J49"/>
    </row>
    <row r="50" spans="2:10" ht="15" hidden="1" customHeight="1" x14ac:dyDescent="0.25">
      <c r="B50" s="40" t="s">
        <v>37</v>
      </c>
      <c r="C50" s="41">
        <v>52.401377642053937</v>
      </c>
      <c r="D50"/>
      <c r="E50"/>
      <c r="F50"/>
      <c r="G50"/>
      <c r="H50"/>
      <c r="I50"/>
      <c r="J50"/>
    </row>
    <row r="51" spans="2:10" ht="15" hidden="1" customHeight="1" x14ac:dyDescent="0.25">
      <c r="B51" s="40" t="s">
        <v>36</v>
      </c>
      <c r="C51" s="41">
        <v>117.35375335745263</v>
      </c>
      <c r="D51"/>
      <c r="E51"/>
      <c r="F51"/>
      <c r="G51"/>
      <c r="H51"/>
      <c r="I51"/>
      <c r="J51"/>
    </row>
    <row r="52" spans="2:10" ht="15" hidden="1" customHeight="1" x14ac:dyDescent="0.25">
      <c r="B52" s="40" t="s">
        <v>35</v>
      </c>
      <c r="C52" s="41">
        <v>200.68320211855089</v>
      </c>
      <c r="D52"/>
      <c r="E52"/>
      <c r="F52"/>
      <c r="G52"/>
      <c r="H52"/>
      <c r="I52"/>
      <c r="J52"/>
    </row>
    <row r="53" spans="2:10" ht="15" hidden="1" customHeight="1" x14ac:dyDescent="0.25">
      <c r="B53" s="40" t="s">
        <v>57</v>
      </c>
      <c r="C53" s="41">
        <v>95.477178196926218</v>
      </c>
      <c r="D53"/>
      <c r="E53"/>
      <c r="F53"/>
      <c r="G53"/>
      <c r="H53"/>
      <c r="I53"/>
      <c r="J53"/>
    </row>
    <row r="54" spans="2:10" ht="15" hidden="1" customHeight="1" x14ac:dyDescent="0.25">
      <c r="B54" s="40" t="s">
        <v>58</v>
      </c>
      <c r="C54" s="41">
        <v>90.990182730219146</v>
      </c>
    </row>
    <row r="55" spans="2:10" ht="6.75" hidden="1" customHeight="1" x14ac:dyDescent="0.25">
      <c r="B55" s="40" t="s">
        <v>59</v>
      </c>
      <c r="C55" s="41">
        <v>15.862205147009817</v>
      </c>
    </row>
    <row r="56" spans="2:10" ht="15" hidden="1" customHeight="1" x14ac:dyDescent="0.25">
      <c r="B56" s="40" t="s">
        <v>66</v>
      </c>
      <c r="C56" s="41">
        <v>9.4384109366703708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19.7109375" style="13" customWidth="1"/>
    <col min="2" max="26" width="8.28515625" style="13" customWidth="1"/>
    <col min="27" max="16384" width="11.42578125" style="13"/>
  </cols>
  <sheetData>
    <row r="1" spans="1:31" ht="15" customHeight="1" x14ac:dyDescent="0.2">
      <c r="A1" s="53">
        <v>46053</v>
      </c>
    </row>
    <row r="2" spans="1:31" ht="15" customHeight="1" x14ac:dyDescent="0.25">
      <c r="A2" s="19" t="s">
        <v>27</v>
      </c>
    </row>
    <row r="3" spans="1:31" ht="15" customHeight="1" x14ac:dyDescent="0.25">
      <c r="A3" s="19" t="s">
        <v>28</v>
      </c>
    </row>
    <row r="4" spans="1:31" ht="15" customHeight="1" x14ac:dyDescent="0.25">
      <c r="A4" s="14" t="s">
        <v>13</v>
      </c>
      <c r="B4" s="14"/>
      <c r="C4" s="14"/>
    </row>
    <row r="5" spans="1:31" ht="15" customHeight="1" x14ac:dyDescent="0.25">
      <c r="A5" s="14"/>
      <c r="B5" s="14"/>
      <c r="C5" s="14"/>
    </row>
    <row r="6" spans="1:31" s="31" customFormat="1" ht="15" customHeight="1" x14ac:dyDescent="0.25">
      <c r="A6" s="1" t="s">
        <v>26</v>
      </c>
      <c r="B6" s="1">
        <v>1997</v>
      </c>
      <c r="C6" s="1">
        <v>1998</v>
      </c>
      <c r="D6" s="1">
        <v>1999</v>
      </c>
      <c r="E6" s="1">
        <v>2000</v>
      </c>
      <c r="F6" s="1">
        <v>2001</v>
      </c>
      <c r="G6" s="1">
        <v>2002</v>
      </c>
      <c r="H6" s="1">
        <v>2003</v>
      </c>
      <c r="I6" s="1">
        <v>2004</v>
      </c>
      <c r="J6" s="1">
        <v>2005</v>
      </c>
      <c r="K6" s="1">
        <v>2006</v>
      </c>
      <c r="L6" s="1">
        <v>2007</v>
      </c>
      <c r="M6" s="1">
        <v>2008</v>
      </c>
      <c r="N6" s="1">
        <v>2009</v>
      </c>
      <c r="O6" s="1">
        <v>2010</v>
      </c>
      <c r="P6" s="1">
        <v>2011</v>
      </c>
      <c r="Q6" s="1">
        <v>2012</v>
      </c>
      <c r="R6" s="1">
        <v>2013</v>
      </c>
      <c r="S6" s="1">
        <v>2014</v>
      </c>
      <c r="T6" s="2">
        <v>2015</v>
      </c>
      <c r="U6" s="2">
        <v>2016</v>
      </c>
      <c r="V6" s="2">
        <v>2017</v>
      </c>
      <c r="W6" s="2">
        <v>2018</v>
      </c>
      <c r="X6" s="2">
        <v>2019</v>
      </c>
      <c r="Y6" s="2">
        <v>2020</v>
      </c>
      <c r="Z6" s="3">
        <v>2021</v>
      </c>
      <c r="AA6" s="2">
        <v>2022</v>
      </c>
      <c r="AB6" s="3">
        <v>2023</v>
      </c>
      <c r="AC6" s="2">
        <v>2024</v>
      </c>
      <c r="AD6" s="2" t="s">
        <v>64</v>
      </c>
      <c r="AE6" s="57" t="s">
        <v>78</v>
      </c>
    </row>
    <row r="7" spans="1:31" s="31" customFormat="1" ht="15" customHeight="1" x14ac:dyDescent="0.25">
      <c r="A7" s="4" t="s">
        <v>25</v>
      </c>
      <c r="B7" s="5">
        <v>1.2957435335407963</v>
      </c>
      <c r="C7" s="5">
        <v>1.2601507497816682</v>
      </c>
      <c r="D7" s="5">
        <v>1.1204381217440473</v>
      </c>
      <c r="E7" s="5">
        <v>1.0214855019149294</v>
      </c>
      <c r="F7" s="5">
        <v>0.9839718543632332</v>
      </c>
      <c r="G7" s="5">
        <v>0.69809297545263094</v>
      </c>
      <c r="H7" s="5">
        <v>0.84874183499979905</v>
      </c>
      <c r="I7" s="5">
        <v>1.1939844521436576</v>
      </c>
      <c r="J7" s="5">
        <v>1.7173466846913756</v>
      </c>
      <c r="K7" s="5">
        <v>2.2991481752352523</v>
      </c>
      <c r="L7" s="5">
        <v>2.218889622682402</v>
      </c>
      <c r="M7" s="5">
        <v>2.0507528528219567</v>
      </c>
      <c r="N7" s="5">
        <v>2.884418283658571</v>
      </c>
      <c r="O7" s="5">
        <v>2.7465562530637646</v>
      </c>
      <c r="P7" s="5">
        <v>2.4555396110967664</v>
      </c>
      <c r="Q7" s="5">
        <v>2.3421538213537403</v>
      </c>
      <c r="R7" s="5">
        <v>2.7102341471543112</v>
      </c>
      <c r="S7" s="5">
        <v>2.8666809884079387</v>
      </c>
      <c r="T7" s="5">
        <v>2.70194148299217</v>
      </c>
      <c r="U7" s="5">
        <v>2.2124656036280164</v>
      </c>
      <c r="V7" s="5">
        <v>1.9505585654309769</v>
      </c>
      <c r="W7" s="5">
        <v>1.4262387263082577</v>
      </c>
      <c r="X7" s="5">
        <v>1.0963764284852826</v>
      </c>
      <c r="Y7" s="5">
        <v>1.0276670708865576</v>
      </c>
      <c r="Z7" s="5">
        <v>1.4086337299502212</v>
      </c>
      <c r="AA7" s="5">
        <v>1.608997965185087</v>
      </c>
      <c r="AB7" s="5">
        <v>1.5957496268770739</v>
      </c>
      <c r="AC7" s="5">
        <v>0.40575024578727237</v>
      </c>
      <c r="AD7" s="5">
        <v>0.35245295710435071</v>
      </c>
      <c r="AE7" s="58">
        <v>0.49749795810139835</v>
      </c>
    </row>
    <row r="9" spans="1:31" ht="15" customHeight="1" x14ac:dyDescent="0.25">
      <c r="A9" s="13" t="s">
        <v>21</v>
      </c>
    </row>
    <row r="10" spans="1:31" ht="15" customHeight="1" x14ac:dyDescent="0.25">
      <c r="A10" s="13" t="s">
        <v>86</v>
      </c>
    </row>
    <row r="11" spans="1:31" ht="15" customHeight="1" x14ac:dyDescent="0.25">
      <c r="A11" s="13" t="s">
        <v>80</v>
      </c>
    </row>
  </sheetData>
  <hyperlinks>
    <hyperlink ref="A4" location="Índice!A1" display="volver al índice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19.7109375" style="13" customWidth="1"/>
    <col min="2" max="26" width="8.28515625" style="13" customWidth="1"/>
    <col min="27" max="16384" width="11.42578125" style="13"/>
  </cols>
  <sheetData>
    <row r="1" spans="1:31" ht="15" customHeight="1" x14ac:dyDescent="0.2">
      <c r="A1" s="53">
        <v>46053</v>
      </c>
    </row>
    <row r="2" spans="1:31" ht="15" customHeight="1" x14ac:dyDescent="0.25">
      <c r="A2" s="19" t="s">
        <v>29</v>
      </c>
    </row>
    <row r="3" spans="1:31" ht="15" customHeight="1" x14ac:dyDescent="0.25">
      <c r="A3" s="19" t="s">
        <v>87</v>
      </c>
    </row>
    <row r="4" spans="1:31" ht="15" customHeight="1" x14ac:dyDescent="0.25">
      <c r="A4" s="14" t="s">
        <v>13</v>
      </c>
      <c r="B4" s="14"/>
      <c r="C4" s="14"/>
    </row>
    <row r="5" spans="1:31" ht="15" customHeight="1" x14ac:dyDescent="0.25">
      <c r="A5" s="14"/>
      <c r="B5" s="14"/>
      <c r="C5" s="14"/>
    </row>
    <row r="6" spans="1:31" s="31" customFormat="1" ht="15" customHeight="1" x14ac:dyDescent="0.25">
      <c r="A6" s="1" t="s">
        <v>26</v>
      </c>
      <c r="B6" s="1">
        <v>1997</v>
      </c>
      <c r="C6" s="1">
        <v>1998</v>
      </c>
      <c r="D6" s="1">
        <v>1999</v>
      </c>
      <c r="E6" s="1">
        <v>2000</v>
      </c>
      <c r="F6" s="1">
        <v>2001</v>
      </c>
      <c r="G6" s="1">
        <v>2002</v>
      </c>
      <c r="H6" s="1">
        <v>2003</v>
      </c>
      <c r="I6" s="1">
        <v>2004</v>
      </c>
      <c r="J6" s="1">
        <v>2005</v>
      </c>
      <c r="K6" s="1">
        <v>2006</v>
      </c>
      <c r="L6" s="1">
        <v>2007</v>
      </c>
      <c r="M6" s="1">
        <v>2008</v>
      </c>
      <c r="N6" s="1">
        <v>2009</v>
      </c>
      <c r="O6" s="1">
        <v>2010</v>
      </c>
      <c r="P6" s="1">
        <v>2011</v>
      </c>
      <c r="Q6" s="1">
        <v>2012</v>
      </c>
      <c r="R6" s="1">
        <v>2013</v>
      </c>
      <c r="S6" s="1">
        <v>2014</v>
      </c>
      <c r="T6" s="2">
        <v>2015</v>
      </c>
      <c r="U6" s="2">
        <v>2016</v>
      </c>
      <c r="V6" s="2">
        <v>2017</v>
      </c>
      <c r="W6" s="2">
        <v>2018</v>
      </c>
      <c r="X6" s="2">
        <v>2019</v>
      </c>
      <c r="Y6" s="2">
        <v>2020</v>
      </c>
      <c r="Z6" s="3">
        <v>2021</v>
      </c>
      <c r="AA6" s="2">
        <v>2022</v>
      </c>
      <c r="AB6" s="3">
        <v>2023</v>
      </c>
      <c r="AC6" s="2">
        <v>2024</v>
      </c>
      <c r="AD6" s="2">
        <v>2025</v>
      </c>
      <c r="AE6" s="57">
        <v>2026</v>
      </c>
    </row>
    <row r="7" spans="1:31" s="31" customFormat="1" ht="15" customHeight="1" x14ac:dyDescent="0.25">
      <c r="A7" s="4" t="s">
        <v>25</v>
      </c>
      <c r="B7" s="5">
        <v>50.185946969181032</v>
      </c>
      <c r="C7" s="5">
        <v>59.412628344968134</v>
      </c>
      <c r="D7" s="5">
        <v>60.890048967297098</v>
      </c>
      <c r="E7" s="5">
        <v>42.359505957269647</v>
      </c>
      <c r="F7" s="5">
        <v>54.818692528157023</v>
      </c>
      <c r="G7" s="5">
        <v>31.302192790776321</v>
      </c>
      <c r="H7" s="5">
        <v>32.832081122206297</v>
      </c>
      <c r="I7" s="5">
        <v>45.827019453712872</v>
      </c>
      <c r="J7" s="5">
        <v>84.753306373402111</v>
      </c>
      <c r="K7" s="5">
        <v>130.3978224122344</v>
      </c>
      <c r="L7" s="5">
        <v>156.81805658722215</v>
      </c>
      <c r="M7" s="5">
        <v>178.81701650346957</v>
      </c>
      <c r="N7" s="5">
        <v>210.8538244253549</v>
      </c>
      <c r="O7" s="5">
        <v>152.41959963395544</v>
      </c>
      <c r="P7" s="5">
        <v>182.16327584135792</v>
      </c>
      <c r="Q7" s="5">
        <v>194.32232004946934</v>
      </c>
      <c r="R7" s="5">
        <v>197.0494872002314</v>
      </c>
      <c r="S7" s="5">
        <v>204.36203231681324</v>
      </c>
      <c r="T7" s="5">
        <v>224.90787985059319</v>
      </c>
      <c r="U7" s="5">
        <v>207.29883942506115</v>
      </c>
      <c r="V7" s="5">
        <v>178.43016528554736</v>
      </c>
      <c r="W7" s="5">
        <v>85.469571510602108</v>
      </c>
      <c r="X7" s="5">
        <v>100</v>
      </c>
      <c r="Y7" s="5">
        <v>42.363726994062731</v>
      </c>
      <c r="Z7" s="5">
        <v>89.647568261882483</v>
      </c>
      <c r="AA7" s="5">
        <v>108.97211994631401</v>
      </c>
      <c r="AB7" s="5">
        <v>137.87671936090922</v>
      </c>
      <c r="AC7" s="5">
        <v>19.349631015728882</v>
      </c>
      <c r="AD7" s="5">
        <v>23.073203288023276</v>
      </c>
      <c r="AE7" s="58">
        <v>14.776098347145501</v>
      </c>
    </row>
    <row r="9" spans="1:31" ht="15" customHeight="1" x14ac:dyDescent="0.25">
      <c r="A9" s="13" t="s">
        <v>60</v>
      </c>
    </row>
  </sheetData>
  <hyperlinks>
    <hyperlink ref="A4" location="Índice!A1" display="volver al índice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19.7109375" style="13" customWidth="1"/>
    <col min="2" max="26" width="8.28515625" style="13" customWidth="1"/>
    <col min="27" max="16384" width="11.42578125" style="13"/>
  </cols>
  <sheetData>
    <row r="1" spans="1:38" ht="15" customHeight="1" x14ac:dyDescent="0.2">
      <c r="A1" s="53">
        <v>46053</v>
      </c>
    </row>
    <row r="2" spans="1:38" ht="15" customHeight="1" x14ac:dyDescent="0.25">
      <c r="A2" s="19" t="s">
        <v>68</v>
      </c>
    </row>
    <row r="3" spans="1:38" ht="15" customHeight="1" x14ac:dyDescent="0.25">
      <c r="A3" s="19" t="s">
        <v>88</v>
      </c>
      <c r="AK3" s="31"/>
      <c r="AL3" s="31"/>
    </row>
    <row r="4" spans="1:38" ht="15" customHeight="1" x14ac:dyDescent="0.25">
      <c r="A4" s="14" t="s">
        <v>13</v>
      </c>
      <c r="B4" s="14"/>
      <c r="C4" s="14"/>
    </row>
    <row r="5" spans="1:38" ht="15" customHeight="1" x14ac:dyDescent="0.25">
      <c r="A5" s="14"/>
      <c r="B5" s="14"/>
      <c r="C5" s="14"/>
    </row>
    <row r="6" spans="1:38" s="31" customFormat="1" ht="15" customHeight="1" x14ac:dyDescent="0.25">
      <c r="A6" s="1" t="s">
        <v>26</v>
      </c>
      <c r="B6" s="1">
        <v>1997</v>
      </c>
      <c r="C6" s="1">
        <v>1998</v>
      </c>
      <c r="D6" s="1">
        <v>1999</v>
      </c>
      <c r="E6" s="1">
        <v>2000</v>
      </c>
      <c r="F6" s="1">
        <v>2001</v>
      </c>
      <c r="G6" s="1">
        <v>2002</v>
      </c>
      <c r="H6" s="1">
        <v>2003</v>
      </c>
      <c r="I6" s="1">
        <v>2004</v>
      </c>
      <c r="J6" s="1">
        <v>2005</v>
      </c>
      <c r="K6" s="1">
        <v>2006</v>
      </c>
      <c r="L6" s="1">
        <v>2007</v>
      </c>
      <c r="M6" s="1">
        <v>2008</v>
      </c>
      <c r="N6" s="1">
        <v>2009</v>
      </c>
      <c r="O6" s="1">
        <v>2010</v>
      </c>
      <c r="P6" s="1">
        <v>2011</v>
      </c>
      <c r="Q6" s="1">
        <v>2012</v>
      </c>
      <c r="R6" s="1">
        <v>2013</v>
      </c>
      <c r="S6" s="1">
        <v>2014</v>
      </c>
      <c r="T6" s="2">
        <v>2015</v>
      </c>
      <c r="U6" s="2">
        <v>2016</v>
      </c>
      <c r="V6" s="2">
        <v>2017</v>
      </c>
      <c r="W6" s="2">
        <v>2018</v>
      </c>
      <c r="X6" s="2">
        <v>2019</v>
      </c>
      <c r="Y6" s="2">
        <v>2020</v>
      </c>
      <c r="Z6" s="3">
        <v>2021</v>
      </c>
      <c r="AA6" s="2">
        <v>2022</v>
      </c>
      <c r="AB6" s="3">
        <v>2023</v>
      </c>
      <c r="AC6" s="2">
        <v>2024</v>
      </c>
      <c r="AD6" s="57">
        <v>2025</v>
      </c>
    </row>
    <row r="7" spans="1:38" s="31" customFormat="1" ht="15" customHeight="1" x14ac:dyDescent="0.25">
      <c r="A7" s="4" t="s">
        <v>25</v>
      </c>
      <c r="B7" s="5">
        <v>65.006783158499104</v>
      </c>
      <c r="C7" s="5">
        <v>63.939100189931068</v>
      </c>
      <c r="D7" s="5">
        <v>54.541571203986621</v>
      </c>
      <c r="E7" s="5">
        <v>50.331037862848504</v>
      </c>
      <c r="F7" s="5">
        <v>46.274214272526066</v>
      </c>
      <c r="G7" s="5">
        <v>30.388724507626584</v>
      </c>
      <c r="H7" s="5">
        <v>39.159529527388507</v>
      </c>
      <c r="I7" s="5">
        <v>67.933959549346028</v>
      </c>
      <c r="J7" s="5">
        <v>106.76239556888184</v>
      </c>
      <c r="K7" s="5">
        <v>158.60245739138375</v>
      </c>
      <c r="L7" s="5">
        <v>168.26624973166173</v>
      </c>
      <c r="M7" s="5">
        <v>164.10619697112355</v>
      </c>
      <c r="N7" s="5">
        <v>219.61061441102964</v>
      </c>
      <c r="O7" s="5">
        <v>223.45511799372716</v>
      </c>
      <c r="P7" s="5">
        <v>214.15593521969546</v>
      </c>
      <c r="Q7" s="5">
        <v>202.06990147416661</v>
      </c>
      <c r="R7" s="5">
        <v>237.48684991887635</v>
      </c>
      <c r="S7" s="5">
        <v>247.64782083282455</v>
      </c>
      <c r="T7" s="5">
        <v>244.39899514511481</v>
      </c>
      <c r="U7" s="5">
        <v>196.58576888689149</v>
      </c>
      <c r="V7" s="5">
        <v>181.21058468081696</v>
      </c>
      <c r="W7" s="5">
        <v>134.07056185961122</v>
      </c>
      <c r="X7" s="5">
        <v>100</v>
      </c>
      <c r="Y7" s="5">
        <v>81.267565318134359</v>
      </c>
      <c r="Z7" s="5">
        <v>126.92060871870662</v>
      </c>
      <c r="AA7" s="5">
        <v>149.40070269391822</v>
      </c>
      <c r="AB7" s="5">
        <v>155.27349944166417</v>
      </c>
      <c r="AC7" s="5">
        <v>35.331957235116214</v>
      </c>
      <c r="AD7" s="58">
        <v>32.915038163228665</v>
      </c>
    </row>
    <row r="9" spans="1:38" ht="15" customHeight="1" x14ac:dyDescent="0.25">
      <c r="A9" s="13" t="s">
        <v>60</v>
      </c>
    </row>
  </sheetData>
  <hyperlinks>
    <hyperlink ref="A4" location="Índice!A1" display="volver al índice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GridLines="0"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18.140625" style="25" customWidth="1"/>
    <col min="2" max="2" width="8" style="25" customWidth="1"/>
    <col min="3" max="3" width="9.85546875" style="25" customWidth="1"/>
    <col min="4" max="7" width="8.28515625" style="25" customWidth="1"/>
    <col min="8" max="16384" width="11.42578125" style="25"/>
  </cols>
  <sheetData>
    <row r="1" spans="1:12" ht="15" customHeight="1" x14ac:dyDescent="0.2">
      <c r="A1" s="53">
        <v>46053</v>
      </c>
    </row>
    <row r="2" spans="1:12" ht="15" customHeight="1" x14ac:dyDescent="0.25">
      <c r="A2" s="32" t="s">
        <v>69</v>
      </c>
    </row>
    <row r="3" spans="1:12" s="33" customFormat="1" ht="15" customHeight="1" x14ac:dyDescent="0.25">
      <c r="A3" s="32" t="s">
        <v>30</v>
      </c>
    </row>
    <row r="4" spans="1:12" ht="15" customHeight="1" x14ac:dyDescent="0.25">
      <c r="A4" s="34" t="s">
        <v>13</v>
      </c>
      <c r="B4" s="35"/>
      <c r="C4" s="35"/>
    </row>
    <row r="6" spans="1:12" s="28" customFormat="1" ht="15" customHeight="1" x14ac:dyDescent="0.25">
      <c r="A6" s="1" t="s">
        <v>18</v>
      </c>
      <c r="B6" s="2">
        <v>2016</v>
      </c>
      <c r="C6" s="2">
        <v>2017</v>
      </c>
      <c r="D6" s="2">
        <v>2018</v>
      </c>
      <c r="E6" s="2">
        <v>2019</v>
      </c>
      <c r="F6" s="2">
        <v>2020</v>
      </c>
      <c r="G6" s="3">
        <v>2021</v>
      </c>
      <c r="H6" s="2">
        <v>2022</v>
      </c>
      <c r="I6" s="3">
        <v>2023</v>
      </c>
      <c r="J6" s="2">
        <v>2024</v>
      </c>
      <c r="K6" s="57" t="s">
        <v>64</v>
      </c>
    </row>
    <row r="7" spans="1:12" s="28" customFormat="1" ht="15" customHeight="1" x14ac:dyDescent="0.25">
      <c r="A7" s="4" t="s">
        <v>8</v>
      </c>
      <c r="B7" s="10">
        <v>0.37961101489806426</v>
      </c>
      <c r="C7" s="10">
        <v>0.23516193871649696</v>
      </c>
      <c r="D7" s="10">
        <v>0.20755369919524047</v>
      </c>
      <c r="E7" s="10">
        <v>0.12853524961367635</v>
      </c>
      <c r="F7" s="10">
        <v>9.5705909135818751E-2</v>
      </c>
      <c r="G7" s="10">
        <v>0.13542025338093644</v>
      </c>
      <c r="H7" s="10">
        <v>0.25335440743882226</v>
      </c>
      <c r="I7" s="10">
        <v>0.28703665547507345</v>
      </c>
      <c r="J7" s="10">
        <v>0.14853511177098291</v>
      </c>
      <c r="K7" s="10">
        <v>3.785206594824353E-2</v>
      </c>
    </row>
    <row r="8" spans="1:12" s="28" customFormat="1" ht="15" customHeight="1" x14ac:dyDescent="0.25">
      <c r="A8" s="4" t="s">
        <v>1</v>
      </c>
      <c r="B8" s="10">
        <v>0.49873850547052545</v>
      </c>
      <c r="C8" s="10">
        <v>0.53497070937807067</v>
      </c>
      <c r="D8" s="10">
        <v>0.42248558739413755</v>
      </c>
      <c r="E8" s="10">
        <v>0.44992950014714639</v>
      </c>
      <c r="F8" s="10">
        <v>0.33527351388581561</v>
      </c>
      <c r="G8" s="10">
        <v>0.48209458751021311</v>
      </c>
      <c r="H8" s="10">
        <v>0.41156866665894937</v>
      </c>
      <c r="I8" s="10">
        <v>0.32680360974231176</v>
      </c>
      <c r="J8" s="10">
        <v>7.014482877813516E-2</v>
      </c>
      <c r="K8" s="10">
        <v>0.10805665685231487</v>
      </c>
    </row>
    <row r="9" spans="1:12" s="28" customFormat="1" ht="15" customHeight="1" x14ac:dyDescent="0.25">
      <c r="A9" s="4" t="s">
        <v>9</v>
      </c>
      <c r="B9" s="10">
        <v>8.9922903769194082E-2</v>
      </c>
      <c r="C9" s="10">
        <v>0.1034527543698599</v>
      </c>
      <c r="D9" s="10">
        <v>0.112359530160289</v>
      </c>
      <c r="E9" s="10">
        <v>4.9056415791452895E-2</v>
      </c>
      <c r="F9" s="10">
        <v>3.165585753228993E-2</v>
      </c>
      <c r="G9" s="10">
        <v>9.750128426919949E-2</v>
      </c>
      <c r="H9" s="10">
        <v>0.10114968482957754</v>
      </c>
      <c r="I9" s="10">
        <v>0.10715190336807159</v>
      </c>
      <c r="J9" s="10">
        <v>1.4488509481033555E-2</v>
      </c>
      <c r="K9" s="10">
        <v>2.8474576262355309E-2</v>
      </c>
    </row>
    <row r="10" spans="1:12" s="28" customFormat="1" ht="15" customHeight="1" x14ac:dyDescent="0.25">
      <c r="A10" s="4" t="s">
        <v>10</v>
      </c>
      <c r="B10" s="10">
        <v>0.33641788069131795</v>
      </c>
      <c r="C10" s="10">
        <v>0.28104088026434304</v>
      </c>
      <c r="D10" s="10">
        <v>0.1433100801530153</v>
      </c>
      <c r="E10" s="10">
        <v>0.1055435407222729</v>
      </c>
      <c r="F10" s="10">
        <v>4.9034513538900412E-2</v>
      </c>
      <c r="G10" s="10">
        <v>0.11043641743484781</v>
      </c>
      <c r="H10" s="10">
        <v>0.22530140992120434</v>
      </c>
      <c r="I10" s="10">
        <v>0.21254707331404249</v>
      </c>
      <c r="J10" s="10">
        <v>1.7192729377622153E-2</v>
      </c>
      <c r="K10" s="10">
        <v>6.8958583591588792E-3</v>
      </c>
    </row>
    <row r="11" spans="1:12" s="28" customFormat="1" ht="15" customHeight="1" x14ac:dyDescent="0.25">
      <c r="A11" s="4" t="s">
        <v>11</v>
      </c>
      <c r="B11" s="10">
        <v>0.18388073172427444</v>
      </c>
      <c r="C11" s="10">
        <v>0.17896051674024455</v>
      </c>
      <c r="D11" s="10">
        <v>0.12174181407209932</v>
      </c>
      <c r="E11" s="10">
        <v>0.10722126715372046</v>
      </c>
      <c r="F11" s="10">
        <v>0.20514326083248907</v>
      </c>
      <c r="G11" s="10">
        <v>0.18731872946095757</v>
      </c>
      <c r="H11" s="10">
        <v>0.19718115003259745</v>
      </c>
      <c r="I11" s="10">
        <v>0.19456166969723732</v>
      </c>
      <c r="J11" s="10">
        <v>4.8304958938965893E-2</v>
      </c>
      <c r="K11" s="10">
        <v>4.860955474304824E-2</v>
      </c>
    </row>
    <row r="12" spans="1:12" s="28" customFormat="1" ht="15" customHeight="1" x14ac:dyDescent="0.25">
      <c r="A12" s="4" t="s">
        <v>12</v>
      </c>
      <c r="B12" s="10">
        <v>0.72401367025844032</v>
      </c>
      <c r="C12" s="10">
        <v>0.61697176596196224</v>
      </c>
      <c r="D12" s="10">
        <v>0.41878801533347615</v>
      </c>
      <c r="E12" s="10">
        <v>0.25608999120164783</v>
      </c>
      <c r="F12" s="10">
        <v>0.31085401596124373</v>
      </c>
      <c r="G12" s="10">
        <v>0.39586245789406693</v>
      </c>
      <c r="H12" s="10">
        <v>0.42044265043507711</v>
      </c>
      <c r="I12" s="10">
        <v>0.46764871528033514</v>
      </c>
      <c r="J12" s="10">
        <v>0.10708410744053258</v>
      </c>
      <c r="K12" s="10">
        <v>0.12256424493922986</v>
      </c>
    </row>
    <row r="13" spans="1:12" ht="15" customHeight="1" x14ac:dyDescent="0.25">
      <c r="L13" s="28"/>
    </row>
    <row r="14" spans="1:12" ht="15" customHeight="1" x14ac:dyDescent="0.25">
      <c r="A14" s="13" t="s">
        <v>21</v>
      </c>
      <c r="L14" s="28"/>
    </row>
    <row r="15" spans="1:12" ht="15" customHeight="1" x14ac:dyDescent="0.25">
      <c r="A15" s="13" t="s">
        <v>99</v>
      </c>
      <c r="L15" s="28"/>
    </row>
    <row r="16" spans="1:12" ht="15" customHeight="1" x14ac:dyDescent="0.25">
      <c r="L16" s="28"/>
    </row>
    <row r="19" spans="2:7" ht="15" customHeight="1" x14ac:dyDescent="0.25">
      <c r="D19"/>
      <c r="E19"/>
      <c r="F19"/>
      <c r="G19"/>
    </row>
    <row r="20" spans="2:7" ht="15" customHeight="1" x14ac:dyDescent="0.25">
      <c r="D20"/>
      <c r="E20"/>
      <c r="F20"/>
      <c r="G20"/>
    </row>
    <row r="21" spans="2:7" ht="15" customHeight="1" x14ac:dyDescent="0.25">
      <c r="D21"/>
    </row>
    <row r="22" spans="2:7" ht="15" customHeight="1" x14ac:dyDescent="0.25">
      <c r="D22"/>
    </row>
    <row r="23" spans="2:7" ht="15" customHeight="1" x14ac:dyDescent="0.25">
      <c r="D23"/>
    </row>
    <row r="24" spans="2:7" ht="15" customHeight="1" x14ac:dyDescent="0.25">
      <c r="D24"/>
    </row>
    <row r="25" spans="2:7" ht="15" customHeight="1" x14ac:dyDescent="0.25">
      <c r="D25"/>
    </row>
    <row r="26" spans="2:7" ht="15" customHeight="1" x14ac:dyDescent="0.25">
      <c r="B26"/>
      <c r="C26"/>
      <c r="D26"/>
    </row>
    <row r="27" spans="2:7" ht="15" customHeight="1" x14ac:dyDescent="0.25">
      <c r="B27"/>
      <c r="C27"/>
      <c r="D27"/>
    </row>
    <row r="28" spans="2:7" ht="15" customHeight="1" x14ac:dyDescent="0.25">
      <c r="B28"/>
      <c r="C28"/>
      <c r="D28"/>
    </row>
    <row r="29" spans="2:7" ht="15" customHeight="1" x14ac:dyDescent="0.25">
      <c r="B29"/>
      <c r="C29"/>
      <c r="D29"/>
    </row>
    <row r="30" spans="2:7" ht="15" customHeight="1" x14ac:dyDescent="0.25">
      <c r="B30"/>
      <c r="C30"/>
      <c r="D30"/>
    </row>
    <row r="31" spans="2:7" ht="15" customHeight="1" x14ac:dyDescent="0.25">
      <c r="B31"/>
      <c r="C31"/>
      <c r="D31"/>
    </row>
    <row r="32" spans="2:7" ht="15" customHeight="1" x14ac:dyDescent="0.25">
      <c r="B32"/>
      <c r="C32"/>
      <c r="D32"/>
    </row>
    <row r="33" spans="2:4" ht="15" customHeight="1" x14ac:dyDescent="0.25">
      <c r="B33"/>
      <c r="C33"/>
      <c r="D33"/>
    </row>
    <row r="34" spans="2:4" ht="15" customHeight="1" x14ac:dyDescent="0.25">
      <c r="B34"/>
      <c r="C34"/>
      <c r="D34"/>
    </row>
    <row r="35" spans="2:4" ht="15" customHeight="1" x14ac:dyDescent="0.25">
      <c r="B35"/>
      <c r="C35"/>
      <c r="D35"/>
    </row>
    <row r="36" spans="2:4" ht="15" customHeight="1" x14ac:dyDescent="0.25">
      <c r="B36"/>
      <c r="C36"/>
      <c r="D36"/>
    </row>
    <row r="40" spans="2:4" ht="14.25" customHeight="1" x14ac:dyDescent="0.25"/>
    <row r="41" spans="2:4" ht="15" hidden="1" customHeight="1" x14ac:dyDescent="0.25">
      <c r="B41" s="39" t="s">
        <v>18</v>
      </c>
      <c r="C41" t="s">
        <v>10</v>
      </c>
    </row>
    <row r="42" spans="2:4" ht="15" hidden="1" customHeight="1" x14ac:dyDescent="0.25"/>
    <row r="43" spans="2:4" ht="15" hidden="1" customHeight="1" x14ac:dyDescent="0.25">
      <c r="B43" s="39" t="s">
        <v>34</v>
      </c>
      <c r="C43"/>
    </row>
    <row r="44" spans="2:4" ht="15" hidden="1" customHeight="1" x14ac:dyDescent="0.25">
      <c r="B44" s="40" t="s">
        <v>40</v>
      </c>
      <c r="C44" s="41">
        <v>0.33641788069131795</v>
      </c>
    </row>
    <row r="45" spans="2:4" ht="15" hidden="1" customHeight="1" x14ac:dyDescent="0.25">
      <c r="B45" s="40" t="s">
        <v>39</v>
      </c>
      <c r="C45" s="41">
        <v>0.28104088026434304</v>
      </c>
    </row>
    <row r="46" spans="2:4" ht="15" hidden="1" customHeight="1" x14ac:dyDescent="0.25">
      <c r="B46" s="40" t="s">
        <v>38</v>
      </c>
      <c r="C46" s="41">
        <v>0.1433100801530153</v>
      </c>
    </row>
    <row r="47" spans="2:4" ht="15" hidden="1" customHeight="1" x14ac:dyDescent="0.25">
      <c r="B47" s="40" t="s">
        <v>37</v>
      </c>
      <c r="C47" s="41">
        <v>0.1055435407222729</v>
      </c>
    </row>
    <row r="48" spans="2:4" ht="15" hidden="1" customHeight="1" x14ac:dyDescent="0.25">
      <c r="B48" s="40" t="s">
        <v>36</v>
      </c>
      <c r="C48" s="41">
        <v>4.9034513538900412E-2</v>
      </c>
    </row>
    <row r="49" spans="2:3" ht="15" hidden="1" customHeight="1" x14ac:dyDescent="0.25">
      <c r="B49" s="40" t="s">
        <v>35</v>
      </c>
      <c r="C49" s="41">
        <v>0.11043641743484781</v>
      </c>
    </row>
    <row r="50" spans="2:3" ht="15" hidden="1" customHeight="1" x14ac:dyDescent="0.25">
      <c r="B50" s="40" t="s">
        <v>62</v>
      </c>
      <c r="C50" s="41">
        <v>0.22530140992120434</v>
      </c>
    </row>
    <row r="51" spans="2:3" ht="15" hidden="1" customHeight="1" x14ac:dyDescent="0.25">
      <c r="B51" s="40" t="s">
        <v>61</v>
      </c>
      <c r="C51" s="41">
        <v>0.21254707331404249</v>
      </c>
    </row>
    <row r="52" spans="2:3" ht="18" customHeight="1" x14ac:dyDescent="0.25">
      <c r="B52" s="40" t="s">
        <v>63</v>
      </c>
      <c r="C52" s="41">
        <v>1.7192729377622153E-2</v>
      </c>
    </row>
    <row r="53" spans="2:3" ht="15" customHeight="1" x14ac:dyDescent="0.25">
      <c r="B53" s="40" t="s">
        <v>91</v>
      </c>
      <c r="C53" s="41">
        <v>6.8958583591588792E-3</v>
      </c>
    </row>
  </sheetData>
  <hyperlinks>
    <hyperlink ref="A4" location="Índice!A1" display="volver al índice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showGridLines="0"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18" style="13" customWidth="1"/>
    <col min="2" max="7" width="8" style="13" customWidth="1"/>
    <col min="8" max="16384" width="11.42578125" style="13"/>
  </cols>
  <sheetData>
    <row r="1" spans="1:12" ht="15" customHeight="1" x14ac:dyDescent="0.2">
      <c r="A1" s="53">
        <v>46053</v>
      </c>
    </row>
    <row r="2" spans="1:12" ht="15" customHeight="1" x14ac:dyDescent="0.25">
      <c r="A2" s="19" t="s">
        <v>70</v>
      </c>
    </row>
    <row r="3" spans="1:12" ht="15" customHeight="1" x14ac:dyDescent="0.25">
      <c r="A3" s="19" t="s">
        <v>92</v>
      </c>
    </row>
    <row r="4" spans="1:12" ht="15" customHeight="1" x14ac:dyDescent="0.25">
      <c r="A4" s="26" t="s">
        <v>13</v>
      </c>
      <c r="B4" s="26"/>
      <c r="C4" s="26"/>
    </row>
    <row r="6" spans="1:12" s="31" customFormat="1" ht="15" customHeight="1" x14ac:dyDescent="0.25">
      <c r="A6" s="1" t="s">
        <v>18</v>
      </c>
      <c r="B6" s="2">
        <v>2016</v>
      </c>
      <c r="C6" s="2">
        <v>2017</v>
      </c>
      <c r="D6" s="2">
        <v>2018</v>
      </c>
      <c r="E6" s="2">
        <v>2019</v>
      </c>
      <c r="F6" s="2">
        <v>2020</v>
      </c>
      <c r="G6" s="3">
        <v>2021</v>
      </c>
      <c r="H6" s="2">
        <v>2022</v>
      </c>
      <c r="I6" s="3">
        <v>2023</v>
      </c>
      <c r="J6" s="2">
        <v>2024</v>
      </c>
      <c r="K6" s="2">
        <v>2025</v>
      </c>
      <c r="L6" s="57">
        <v>2026</v>
      </c>
    </row>
    <row r="7" spans="1:12" s="31" customFormat="1" ht="15" customHeight="1" x14ac:dyDescent="0.25">
      <c r="A7" s="4" t="s">
        <v>8</v>
      </c>
      <c r="B7" s="5">
        <v>754.20159064716881</v>
      </c>
      <c r="C7" s="5">
        <v>117.67873875909275</v>
      </c>
      <c r="D7" s="5">
        <v>115.14985909769933</v>
      </c>
      <c r="E7" s="5">
        <v>100</v>
      </c>
      <c r="F7" s="5">
        <v>38.790602779381288</v>
      </c>
      <c r="G7" s="5">
        <v>116.42590281685688</v>
      </c>
      <c r="H7" s="5">
        <v>41.051779934433306</v>
      </c>
      <c r="I7" s="5">
        <v>246.81089882464309</v>
      </c>
      <c r="J7" s="5">
        <v>56.29661934002889</v>
      </c>
      <c r="K7" s="5">
        <v>31.11883742450798</v>
      </c>
      <c r="L7" s="5">
        <v>4.948990436579197</v>
      </c>
    </row>
    <row r="8" spans="1:12" s="31" customFormat="1" ht="15" customHeight="1" x14ac:dyDescent="0.25">
      <c r="A8" s="4" t="s">
        <v>1</v>
      </c>
      <c r="B8" s="5">
        <v>61.775318358480412</v>
      </c>
      <c r="C8" s="5">
        <v>80.872799929558226</v>
      </c>
      <c r="D8" s="5">
        <v>52.116129898194956</v>
      </c>
      <c r="E8" s="5">
        <v>100</v>
      </c>
      <c r="F8" s="5">
        <v>23.819514006050433</v>
      </c>
      <c r="G8" s="5">
        <v>44.841932483483369</v>
      </c>
      <c r="H8" s="5">
        <v>59.452827888143588</v>
      </c>
      <c r="I8" s="5">
        <v>40.630761781375078</v>
      </c>
      <c r="J8" s="5">
        <v>3.8658840681276763</v>
      </c>
      <c r="K8" s="5">
        <v>8.8897822435058558</v>
      </c>
      <c r="L8" s="5">
        <v>11.559716060685355</v>
      </c>
    </row>
    <row r="9" spans="1:12" s="31" customFormat="1" ht="15" customHeight="1" x14ac:dyDescent="0.25">
      <c r="A9" s="4" t="s">
        <v>9</v>
      </c>
      <c r="B9" s="5">
        <v>185.30549650524119</v>
      </c>
      <c r="C9" s="5">
        <v>180.49543796111098</v>
      </c>
      <c r="D9" s="5">
        <v>159.53275299656406</v>
      </c>
      <c r="E9" s="5">
        <v>100</v>
      </c>
      <c r="F9" s="5">
        <v>68.549604319079037</v>
      </c>
      <c r="G9" s="5">
        <v>40.818757988318211</v>
      </c>
      <c r="H9" s="5">
        <v>184.33073948870015</v>
      </c>
      <c r="I9" s="5">
        <v>382.54729735582737</v>
      </c>
      <c r="J9" s="5">
        <v>5.1592606305017465</v>
      </c>
      <c r="K9" s="5">
        <v>2.2675198306090607</v>
      </c>
      <c r="L9" s="5">
        <v>13.138369776908618</v>
      </c>
    </row>
    <row r="10" spans="1:12" s="31" customFormat="1" ht="15" customHeight="1" x14ac:dyDescent="0.25">
      <c r="A10" s="4" t="s">
        <v>10</v>
      </c>
      <c r="B10" s="5">
        <v>178.09355075340937</v>
      </c>
      <c r="C10" s="5">
        <v>389.17961636143679</v>
      </c>
      <c r="D10" s="5">
        <v>26.688548366115992</v>
      </c>
      <c r="E10" s="5">
        <v>100</v>
      </c>
      <c r="F10" s="5">
        <v>33.473411375738166</v>
      </c>
      <c r="G10" s="5">
        <v>20.711746355098597</v>
      </c>
      <c r="H10" s="5">
        <v>61.319823224395414</v>
      </c>
      <c r="I10" s="5">
        <v>141.60280797178825</v>
      </c>
      <c r="J10" s="5">
        <v>4.7463193589439197</v>
      </c>
      <c r="K10" s="5">
        <v>7.4572148655833468</v>
      </c>
      <c r="L10" s="5">
        <v>1.3952020941601659</v>
      </c>
    </row>
    <row r="11" spans="1:12" s="31" customFormat="1" ht="15" customHeight="1" x14ac:dyDescent="0.25">
      <c r="A11" s="4" t="s">
        <v>11</v>
      </c>
      <c r="B11" s="5">
        <v>176.48919084363789</v>
      </c>
      <c r="C11" s="5">
        <v>249.42240475208521</v>
      </c>
      <c r="D11" s="5">
        <v>78.067623039118928</v>
      </c>
      <c r="E11" s="5">
        <v>100</v>
      </c>
      <c r="F11" s="5">
        <v>15.303484487672947</v>
      </c>
      <c r="G11" s="5">
        <v>280.62580371652012</v>
      </c>
      <c r="H11" s="5">
        <v>245.9700599289221</v>
      </c>
      <c r="I11" s="5">
        <v>215.6595373107919</v>
      </c>
      <c r="J11" s="5">
        <v>47.814098848504933</v>
      </c>
      <c r="K11" s="5">
        <v>51.987763904252454</v>
      </c>
      <c r="L11" s="5">
        <v>56.761479097675711</v>
      </c>
    </row>
    <row r="12" spans="1:12" s="31" customFormat="1" ht="15" customHeight="1" x14ac:dyDescent="0.25">
      <c r="A12" s="4" t="s">
        <v>12</v>
      </c>
      <c r="B12" s="5">
        <v>160.55299679900071</v>
      </c>
      <c r="C12" s="5">
        <v>285.3081744942204</v>
      </c>
      <c r="D12" s="5">
        <v>157.48694965757269</v>
      </c>
      <c r="E12" s="5">
        <v>100</v>
      </c>
      <c r="F12" s="5">
        <v>92.181451554229227</v>
      </c>
      <c r="G12" s="5">
        <v>157.45522902422798</v>
      </c>
      <c r="H12" s="5">
        <v>234.74589397730205</v>
      </c>
      <c r="I12" s="5">
        <v>198.88258480668989</v>
      </c>
      <c r="J12" s="5">
        <v>28.612107266938821</v>
      </c>
      <c r="K12" s="5">
        <v>51.392456155115042</v>
      </c>
      <c r="L12" s="5">
        <v>24.118162677550341</v>
      </c>
    </row>
    <row r="14" spans="1:12" ht="15" customHeight="1" x14ac:dyDescent="0.25">
      <c r="A14" s="13" t="s">
        <v>60</v>
      </c>
    </row>
    <row r="18" spans="2:7" ht="15" customHeight="1" x14ac:dyDescent="0.25">
      <c r="D18"/>
      <c r="E18"/>
      <c r="F18"/>
      <c r="G18"/>
    </row>
    <row r="19" spans="2:7" ht="15" customHeight="1" x14ac:dyDescent="0.25">
      <c r="D19"/>
      <c r="E19"/>
      <c r="F19"/>
      <c r="G19"/>
    </row>
    <row r="20" spans="2:7" ht="15" customHeight="1" x14ac:dyDescent="0.25">
      <c r="D20"/>
    </row>
    <row r="21" spans="2:7" ht="15" customHeight="1" x14ac:dyDescent="0.25">
      <c r="D21"/>
    </row>
    <row r="22" spans="2:7" ht="15" customHeight="1" x14ac:dyDescent="0.25">
      <c r="D22"/>
    </row>
    <row r="23" spans="2:7" ht="15" customHeight="1" x14ac:dyDescent="0.25">
      <c r="D23"/>
    </row>
    <row r="24" spans="2:7" ht="15" customHeight="1" x14ac:dyDescent="0.25">
      <c r="D24"/>
    </row>
    <row r="25" spans="2:7" ht="15" customHeight="1" x14ac:dyDescent="0.25">
      <c r="B25"/>
      <c r="C25"/>
      <c r="D25"/>
    </row>
    <row r="26" spans="2:7" ht="15" customHeight="1" x14ac:dyDescent="0.25">
      <c r="B26"/>
      <c r="C26"/>
      <c r="D26"/>
    </row>
    <row r="27" spans="2:7" ht="15" customHeight="1" x14ac:dyDescent="0.25">
      <c r="B27"/>
      <c r="C27"/>
      <c r="D27"/>
    </row>
    <row r="28" spans="2:7" ht="15" customHeight="1" x14ac:dyDescent="0.25">
      <c r="B28"/>
      <c r="C28"/>
      <c r="D28"/>
    </row>
    <row r="29" spans="2:7" ht="15" customHeight="1" x14ac:dyDescent="0.25">
      <c r="B29"/>
      <c r="C29"/>
      <c r="D29"/>
    </row>
    <row r="30" spans="2:7" ht="15" customHeight="1" x14ac:dyDescent="0.25">
      <c r="B30"/>
      <c r="C30"/>
      <c r="D30"/>
    </row>
    <row r="31" spans="2:7" ht="15" customHeight="1" x14ac:dyDescent="0.25">
      <c r="B31"/>
      <c r="C31"/>
      <c r="D31"/>
    </row>
    <row r="32" spans="2:7" ht="15" customHeight="1" x14ac:dyDescent="0.25">
      <c r="B32"/>
      <c r="C32"/>
      <c r="D32"/>
    </row>
    <row r="33" spans="2:4" ht="15" customHeight="1" x14ac:dyDescent="0.25">
      <c r="B33"/>
      <c r="C33"/>
      <c r="D33"/>
    </row>
    <row r="34" spans="2:4" ht="15" customHeight="1" x14ac:dyDescent="0.25">
      <c r="B34"/>
      <c r="C34"/>
      <c r="D34"/>
    </row>
    <row r="35" spans="2:4" ht="15" customHeight="1" x14ac:dyDescent="0.25">
      <c r="B35"/>
      <c r="C35"/>
      <c r="D35"/>
    </row>
    <row r="36" spans="2:4" ht="12" customHeight="1" x14ac:dyDescent="0.25"/>
    <row r="37" spans="2:4" ht="3.75" hidden="1" customHeight="1" x14ac:dyDescent="0.25"/>
    <row r="38" spans="2:4" ht="4.5" hidden="1" customHeight="1" x14ac:dyDescent="0.25">
      <c r="B38" s="39" t="s">
        <v>18</v>
      </c>
      <c r="C38" t="s">
        <v>11</v>
      </c>
    </row>
    <row r="39" spans="2:4" ht="15" hidden="1" customHeight="1" x14ac:dyDescent="0.25"/>
    <row r="40" spans="2:4" ht="15" hidden="1" customHeight="1" x14ac:dyDescent="0.25">
      <c r="B40" s="39" t="s">
        <v>34</v>
      </c>
      <c r="C40"/>
    </row>
    <row r="41" spans="2:4" ht="15" hidden="1" customHeight="1" x14ac:dyDescent="0.25">
      <c r="B41" s="40" t="s">
        <v>40</v>
      </c>
      <c r="C41" s="41">
        <v>176.48919084363789</v>
      </c>
    </row>
    <row r="42" spans="2:4" ht="15" hidden="1" customHeight="1" x14ac:dyDescent="0.25">
      <c r="B42" s="40" t="s">
        <v>39</v>
      </c>
      <c r="C42" s="41">
        <v>249.42240475208521</v>
      </c>
    </row>
    <row r="43" spans="2:4" ht="15" hidden="1" customHeight="1" x14ac:dyDescent="0.25">
      <c r="B43" s="40" t="s">
        <v>38</v>
      </c>
      <c r="C43" s="41">
        <v>78.067623039118928</v>
      </c>
    </row>
    <row r="44" spans="2:4" ht="15" hidden="1" customHeight="1" x14ac:dyDescent="0.25">
      <c r="B44" s="40" t="s">
        <v>37</v>
      </c>
      <c r="C44" s="41">
        <v>100</v>
      </c>
    </row>
    <row r="45" spans="2:4" ht="15" hidden="1" customHeight="1" x14ac:dyDescent="0.25">
      <c r="B45" s="40" t="s">
        <v>36</v>
      </c>
      <c r="C45" s="41">
        <v>15.303484487672947</v>
      </c>
    </row>
    <row r="46" spans="2:4" ht="15" hidden="1" customHeight="1" x14ac:dyDescent="0.25">
      <c r="B46" s="40" t="s">
        <v>35</v>
      </c>
      <c r="C46" s="41">
        <v>280.62580371652012</v>
      </c>
    </row>
    <row r="47" spans="2:4" ht="15" hidden="1" customHeight="1" x14ac:dyDescent="0.25">
      <c r="B47" s="40" t="s">
        <v>62</v>
      </c>
      <c r="C47" s="41">
        <v>245.9700599289221</v>
      </c>
    </row>
    <row r="48" spans="2:4" ht="15" hidden="1" customHeight="1" x14ac:dyDescent="0.25">
      <c r="B48" s="40" t="s">
        <v>61</v>
      </c>
      <c r="C48" s="41">
        <v>215.6595373107919</v>
      </c>
    </row>
    <row r="49" spans="2:3" ht="15" hidden="1" customHeight="1" x14ac:dyDescent="0.25">
      <c r="B49" s="40" t="s">
        <v>63</v>
      </c>
      <c r="C49" s="41">
        <v>47.814098848504933</v>
      </c>
    </row>
    <row r="50" spans="2:3" ht="15.75" customHeight="1" x14ac:dyDescent="0.25">
      <c r="B50" s="40" t="s">
        <v>66</v>
      </c>
      <c r="C50" s="41">
        <v>51.987763904252454</v>
      </c>
    </row>
    <row r="51" spans="2:3" ht="15" customHeight="1" x14ac:dyDescent="0.25">
      <c r="B51" s="40" t="s">
        <v>85</v>
      </c>
      <c r="C51" s="41">
        <v>56.761479097675711</v>
      </c>
    </row>
  </sheetData>
  <hyperlinks>
    <hyperlink ref="A4" location="Índice!A1" display="volver al índice"/>
  </hyperlink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GridLines="0" workbookViewId="0">
      <pane xSplit="1" topLeftCell="B1" activePane="topRight" state="frozen"/>
      <selection pane="topRight"/>
    </sheetView>
  </sheetViews>
  <sheetFormatPr baseColWidth="10" defaultRowHeight="15" customHeight="1" x14ac:dyDescent="0.25"/>
  <cols>
    <col min="1" max="1" width="18" style="13" customWidth="1"/>
    <col min="2" max="7" width="8" style="13" customWidth="1"/>
    <col min="8" max="16384" width="11.42578125" style="13"/>
  </cols>
  <sheetData>
    <row r="1" spans="1:11" ht="15" customHeight="1" x14ac:dyDescent="0.2">
      <c r="A1" s="53">
        <v>46053</v>
      </c>
    </row>
    <row r="2" spans="1:11" ht="15" customHeight="1" x14ac:dyDescent="0.25">
      <c r="A2" s="19" t="s">
        <v>71</v>
      </c>
    </row>
    <row r="3" spans="1:11" ht="15" customHeight="1" x14ac:dyDescent="0.25">
      <c r="A3" s="19" t="s">
        <v>93</v>
      </c>
    </row>
    <row r="4" spans="1:11" ht="15" customHeight="1" x14ac:dyDescent="0.25">
      <c r="A4" s="26" t="s">
        <v>13</v>
      </c>
      <c r="B4" s="26"/>
      <c r="C4" s="26"/>
    </row>
    <row r="6" spans="1:11" s="31" customFormat="1" ht="15" customHeight="1" x14ac:dyDescent="0.25">
      <c r="A6" s="1" t="s">
        <v>18</v>
      </c>
      <c r="B6" s="2">
        <v>2016</v>
      </c>
      <c r="C6" s="2">
        <v>2017</v>
      </c>
      <c r="D6" s="2">
        <v>2018</v>
      </c>
      <c r="E6" s="2">
        <v>2019</v>
      </c>
      <c r="F6" s="2">
        <v>2020</v>
      </c>
      <c r="G6" s="3">
        <v>2021</v>
      </c>
      <c r="H6" s="2">
        <v>2022</v>
      </c>
      <c r="I6" s="3">
        <v>2023</v>
      </c>
      <c r="J6" s="2">
        <v>2024</v>
      </c>
      <c r="K6" s="2">
        <v>2025</v>
      </c>
    </row>
    <row r="7" spans="1:11" s="31" customFormat="1" ht="15" customHeight="1" x14ac:dyDescent="0.25">
      <c r="A7" s="4" t="s">
        <v>8</v>
      </c>
      <c r="B7" s="5">
        <v>294.97536428344876</v>
      </c>
      <c r="C7" s="5">
        <v>182.72137070627787</v>
      </c>
      <c r="D7" s="5">
        <v>167.45854645243114</v>
      </c>
      <c r="E7" s="5">
        <v>100</v>
      </c>
      <c r="F7" s="5">
        <v>64.387672018929393</v>
      </c>
      <c r="G7" s="5">
        <v>106.2318824331105</v>
      </c>
      <c r="H7" s="5">
        <v>197.08662972045136</v>
      </c>
      <c r="I7" s="5">
        <v>257.65887349994534</v>
      </c>
      <c r="J7" s="5">
        <v>112.65332578543759</v>
      </c>
      <c r="K7" s="5">
        <v>30.409681240555788</v>
      </c>
    </row>
    <row r="8" spans="1:11" s="31" customFormat="1" ht="15" customHeight="1" x14ac:dyDescent="0.25">
      <c r="A8" s="4" t="s">
        <v>1</v>
      </c>
      <c r="B8" s="5">
        <v>107.74646753958997</v>
      </c>
      <c r="C8" s="5">
        <v>121.07873951862847</v>
      </c>
      <c r="D8" s="5">
        <v>95.774000160618812</v>
      </c>
      <c r="E8" s="5">
        <v>100</v>
      </c>
      <c r="F8" s="5">
        <v>64.475964793614182</v>
      </c>
      <c r="G8" s="5">
        <v>104.38854535800677</v>
      </c>
      <c r="H8" s="5">
        <v>93.443512208156434</v>
      </c>
      <c r="I8" s="5">
        <v>74.629907829412886</v>
      </c>
      <c r="J8" s="5">
        <v>14.563251621623376</v>
      </c>
      <c r="K8" s="5">
        <v>24.586990907340496</v>
      </c>
    </row>
    <row r="9" spans="1:11" s="31" customFormat="1" ht="15" customHeight="1" x14ac:dyDescent="0.25">
      <c r="A9" s="4" t="s">
        <v>9</v>
      </c>
      <c r="B9" s="5">
        <v>172.03367322578006</v>
      </c>
      <c r="C9" s="5">
        <v>210.92765112262643</v>
      </c>
      <c r="D9" s="5">
        <v>232.10526783710731</v>
      </c>
      <c r="E9" s="5">
        <v>100</v>
      </c>
      <c r="F9" s="5">
        <v>55.767636531471588</v>
      </c>
      <c r="G9" s="5">
        <v>190.34764916465107</v>
      </c>
      <c r="H9" s="5">
        <v>215.02858647164223</v>
      </c>
      <c r="I9" s="5">
        <v>222.26686582759052</v>
      </c>
      <c r="J9" s="5">
        <v>26.060815726544156</v>
      </c>
      <c r="K9" s="5">
        <v>58.531416153628257</v>
      </c>
    </row>
    <row r="10" spans="1:11" s="31" customFormat="1" ht="15" customHeight="1" x14ac:dyDescent="0.25">
      <c r="A10" s="4" t="s">
        <v>10</v>
      </c>
      <c r="B10" s="5">
        <v>298.36892211108176</v>
      </c>
      <c r="C10" s="5">
        <v>270.49452137176468</v>
      </c>
      <c r="D10" s="5">
        <v>138.46366839281137</v>
      </c>
      <c r="E10" s="5">
        <v>100</v>
      </c>
      <c r="F10" s="5">
        <v>38.654665405159889</v>
      </c>
      <c r="G10" s="5">
        <v>99.345302452238073</v>
      </c>
      <c r="H10" s="5">
        <v>209.58417857740884</v>
      </c>
      <c r="I10" s="5">
        <v>215.43716348535648</v>
      </c>
      <c r="J10" s="5">
        <v>14.675689505360774</v>
      </c>
      <c r="K10" s="5">
        <v>6.512432122626449</v>
      </c>
    </row>
    <row r="11" spans="1:11" s="31" customFormat="1" ht="15" customHeight="1" x14ac:dyDescent="0.25">
      <c r="A11" s="4" t="s">
        <v>11</v>
      </c>
      <c r="B11" s="5">
        <v>166.75076162086654</v>
      </c>
      <c r="C11" s="5">
        <v>171.25204677722942</v>
      </c>
      <c r="D11" s="5">
        <v>119.47546310162735</v>
      </c>
      <c r="E11" s="5">
        <v>100</v>
      </c>
      <c r="F11" s="5">
        <v>167.30178311294057</v>
      </c>
      <c r="G11" s="5">
        <v>177.60021611641767</v>
      </c>
      <c r="H11" s="5">
        <v>190.13424184937017</v>
      </c>
      <c r="I11" s="5">
        <v>189.39660603905327</v>
      </c>
      <c r="J11" s="5">
        <v>43.500318733874401</v>
      </c>
      <c r="K11" s="5">
        <v>46.788123736631121</v>
      </c>
    </row>
    <row r="12" spans="1:11" s="31" customFormat="1" ht="15" customHeight="1" x14ac:dyDescent="0.25">
      <c r="A12" s="4" t="s">
        <v>12</v>
      </c>
      <c r="B12" s="5">
        <v>277.77454803024398</v>
      </c>
      <c r="C12" s="5">
        <v>247.42332353837514</v>
      </c>
      <c r="D12" s="5">
        <v>169.83724019100882</v>
      </c>
      <c r="E12" s="5">
        <v>100</v>
      </c>
      <c r="F12" s="5">
        <v>106.5730617998492</v>
      </c>
      <c r="G12" s="5">
        <v>155.36103995892668</v>
      </c>
      <c r="H12" s="5">
        <v>168.52380808406417</v>
      </c>
      <c r="I12" s="5">
        <v>192.64483396049673</v>
      </c>
      <c r="J12" s="5">
        <v>39.685079927743857</v>
      </c>
      <c r="K12" s="5">
        <v>49.296642250242904</v>
      </c>
    </row>
    <row r="14" spans="1:11" ht="15" customHeight="1" x14ac:dyDescent="0.25">
      <c r="A14" s="13" t="s">
        <v>60</v>
      </c>
    </row>
    <row r="18" spans="2:7" ht="15" customHeight="1" x14ac:dyDescent="0.25">
      <c r="D18"/>
      <c r="E18"/>
      <c r="F18"/>
      <c r="G18"/>
    </row>
    <row r="19" spans="2:7" ht="15" customHeight="1" x14ac:dyDescent="0.25">
      <c r="D19"/>
      <c r="E19"/>
      <c r="F19"/>
      <c r="G19"/>
    </row>
    <row r="20" spans="2:7" ht="15" customHeight="1" x14ac:dyDescent="0.25">
      <c r="D20"/>
    </row>
    <row r="21" spans="2:7" ht="15" customHeight="1" x14ac:dyDescent="0.25">
      <c r="D21"/>
    </row>
    <row r="22" spans="2:7" ht="15" customHeight="1" x14ac:dyDescent="0.25">
      <c r="D22"/>
    </row>
    <row r="23" spans="2:7" ht="15" customHeight="1" x14ac:dyDescent="0.25">
      <c r="D23"/>
    </row>
    <row r="24" spans="2:7" ht="15" customHeight="1" x14ac:dyDescent="0.25">
      <c r="D24"/>
    </row>
    <row r="25" spans="2:7" ht="15" customHeight="1" x14ac:dyDescent="0.25">
      <c r="B25"/>
      <c r="C25"/>
      <c r="D25"/>
    </row>
    <row r="26" spans="2:7" ht="15" customHeight="1" x14ac:dyDescent="0.25">
      <c r="B26"/>
      <c r="C26"/>
      <c r="D26"/>
    </row>
    <row r="27" spans="2:7" ht="15" customHeight="1" x14ac:dyDescent="0.25">
      <c r="B27"/>
      <c r="C27"/>
      <c r="D27"/>
    </row>
    <row r="28" spans="2:7" ht="15" customHeight="1" x14ac:dyDescent="0.25">
      <c r="B28"/>
      <c r="C28"/>
      <c r="D28"/>
    </row>
    <row r="29" spans="2:7" ht="15" customHeight="1" x14ac:dyDescent="0.25">
      <c r="B29"/>
      <c r="C29"/>
      <c r="D29"/>
    </row>
    <row r="30" spans="2:7" ht="15" customHeight="1" x14ac:dyDescent="0.25">
      <c r="B30"/>
      <c r="C30"/>
      <c r="D30"/>
    </row>
    <row r="31" spans="2:7" ht="15" customHeight="1" x14ac:dyDescent="0.25">
      <c r="B31"/>
      <c r="C31"/>
      <c r="D31"/>
    </row>
    <row r="32" spans="2:7" ht="15" customHeight="1" x14ac:dyDescent="0.25">
      <c r="B32"/>
      <c r="C32"/>
      <c r="D32"/>
    </row>
    <row r="33" spans="2:4" ht="15" customHeight="1" x14ac:dyDescent="0.25">
      <c r="B33"/>
      <c r="C33"/>
      <c r="D33"/>
    </row>
    <row r="34" spans="2:4" ht="15" customHeight="1" x14ac:dyDescent="0.25">
      <c r="B34"/>
      <c r="C34"/>
      <c r="D34"/>
    </row>
    <row r="35" spans="2:4" ht="15" customHeight="1" x14ac:dyDescent="0.25">
      <c r="B35"/>
      <c r="C35"/>
      <c r="D35"/>
    </row>
    <row r="38" spans="2:4" ht="1.5" customHeight="1" x14ac:dyDescent="0.25">
      <c r="B38" s="39" t="s">
        <v>18</v>
      </c>
      <c r="C38" t="s">
        <v>11</v>
      </c>
    </row>
    <row r="39" spans="2:4" ht="15" hidden="1" customHeight="1" x14ac:dyDescent="0.25"/>
    <row r="40" spans="2:4" ht="15" hidden="1" customHeight="1" x14ac:dyDescent="0.25">
      <c r="B40" s="39" t="s">
        <v>34</v>
      </c>
      <c r="C40"/>
    </row>
    <row r="41" spans="2:4" ht="15" hidden="1" customHeight="1" x14ac:dyDescent="0.25">
      <c r="B41" s="40" t="s">
        <v>40</v>
      </c>
      <c r="C41" s="41">
        <v>166.75076162086654</v>
      </c>
    </row>
    <row r="42" spans="2:4" ht="15" hidden="1" customHeight="1" x14ac:dyDescent="0.25">
      <c r="B42" s="40" t="s">
        <v>39</v>
      </c>
      <c r="C42" s="41">
        <v>171.25204677722942</v>
      </c>
    </row>
    <row r="43" spans="2:4" ht="15" hidden="1" customHeight="1" x14ac:dyDescent="0.25">
      <c r="B43" s="40" t="s">
        <v>38</v>
      </c>
      <c r="C43" s="41">
        <v>119.47546310162735</v>
      </c>
    </row>
    <row r="44" spans="2:4" ht="15" hidden="1" customHeight="1" x14ac:dyDescent="0.25">
      <c r="B44" s="40" t="s">
        <v>37</v>
      </c>
      <c r="C44" s="41">
        <v>100</v>
      </c>
    </row>
    <row r="45" spans="2:4" ht="15" hidden="1" customHeight="1" x14ac:dyDescent="0.25">
      <c r="B45" s="40" t="s">
        <v>36</v>
      </c>
      <c r="C45" s="41">
        <v>167.30178311294057</v>
      </c>
    </row>
    <row r="46" spans="2:4" ht="15" hidden="1" customHeight="1" x14ac:dyDescent="0.25">
      <c r="B46" s="40" t="s">
        <v>35</v>
      </c>
      <c r="C46" s="41">
        <v>177.60021611641767</v>
      </c>
    </row>
    <row r="47" spans="2:4" ht="15" hidden="1" customHeight="1" x14ac:dyDescent="0.25">
      <c r="B47" s="40" t="s">
        <v>62</v>
      </c>
      <c r="C47" s="41">
        <v>190.13424184937017</v>
      </c>
    </row>
    <row r="48" spans="2:4" ht="15" hidden="1" customHeight="1" x14ac:dyDescent="0.25">
      <c r="B48" s="40" t="s">
        <v>61</v>
      </c>
      <c r="C48" s="41">
        <v>189.39660603905327</v>
      </c>
    </row>
    <row r="49" spans="2:3" ht="12" customHeight="1" x14ac:dyDescent="0.25">
      <c r="B49" s="40" t="s">
        <v>63</v>
      </c>
      <c r="C49" s="41">
        <v>43.500318733874401</v>
      </c>
    </row>
    <row r="50" spans="2:3" ht="15" customHeight="1" x14ac:dyDescent="0.25">
      <c r="B50" s="40" t="s">
        <v>94</v>
      </c>
      <c r="C50" s="41">
        <v>46.788123736631121</v>
      </c>
    </row>
  </sheetData>
  <hyperlinks>
    <hyperlink ref="A4" location="Índice!A1" display="volver al índice"/>
  </hyperlink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topLeftCell="A13" workbookViewId="0">
      <selection activeCell="A21" sqref="A21"/>
    </sheetView>
  </sheetViews>
  <sheetFormatPr baseColWidth="10" defaultRowHeight="15" x14ac:dyDescent="0.25"/>
  <cols>
    <col min="1" max="1" width="17.7109375" customWidth="1"/>
    <col min="2" max="2" width="16.42578125" customWidth="1"/>
    <col min="3" max="10" width="5.5703125" bestFit="1" customWidth="1"/>
    <col min="11" max="11" width="6.5703125" bestFit="1" customWidth="1"/>
    <col min="12" max="14" width="5" bestFit="1" customWidth="1"/>
    <col min="15" max="17" width="5.42578125" bestFit="1" customWidth="1"/>
    <col min="18" max="18" width="5" bestFit="1" customWidth="1"/>
    <col min="19" max="19" width="5.42578125" bestFit="1" customWidth="1"/>
    <col min="20" max="20" width="5" bestFit="1" customWidth="1"/>
    <col min="21" max="23" width="5.42578125" bestFit="1" customWidth="1"/>
    <col min="24" max="24" width="7.28515625" customWidth="1"/>
    <col min="25" max="26" width="5.42578125" bestFit="1" customWidth="1"/>
    <col min="27" max="27" width="5" bestFit="1" customWidth="1"/>
    <col min="28" max="30" width="5.42578125" bestFit="1" customWidth="1"/>
  </cols>
  <sheetData>
    <row r="1" spans="1:30" ht="45.75" customHeight="1" x14ac:dyDescent="0.25">
      <c r="A1" s="43"/>
      <c r="B1" s="44"/>
      <c r="C1" s="45"/>
      <c r="D1" s="45"/>
    </row>
    <row r="3" spans="1:30" x14ac:dyDescent="0.25">
      <c r="A3" s="46" t="s">
        <v>18</v>
      </c>
      <c r="B3" s="46" t="s">
        <v>42</v>
      </c>
      <c r="C3" s="47">
        <v>1995</v>
      </c>
      <c r="D3" s="47">
        <v>1996</v>
      </c>
      <c r="E3" s="48">
        <v>1997</v>
      </c>
      <c r="F3" s="48">
        <v>1998</v>
      </c>
      <c r="G3" s="48">
        <v>1999</v>
      </c>
      <c r="H3" s="48">
        <v>2000</v>
      </c>
      <c r="I3" s="48">
        <v>2001</v>
      </c>
      <c r="J3" s="48">
        <v>2002</v>
      </c>
      <c r="K3" s="48">
        <v>2003</v>
      </c>
      <c r="L3" s="48">
        <v>2004</v>
      </c>
      <c r="M3" s="48">
        <v>2005</v>
      </c>
      <c r="N3" s="48">
        <v>2006</v>
      </c>
      <c r="O3" s="48">
        <v>2007</v>
      </c>
      <c r="P3" s="48">
        <v>2008</v>
      </c>
      <c r="Q3" s="48">
        <v>2009</v>
      </c>
      <c r="R3" s="48">
        <v>2010</v>
      </c>
      <c r="S3" s="48">
        <v>2011</v>
      </c>
      <c r="T3" s="48">
        <v>2012</v>
      </c>
      <c r="U3" s="48">
        <v>2013</v>
      </c>
      <c r="V3" s="48">
        <v>2014</v>
      </c>
      <c r="W3" s="49">
        <v>2015</v>
      </c>
      <c r="X3" s="49">
        <v>2016</v>
      </c>
      <c r="Y3" s="49">
        <v>2017</v>
      </c>
      <c r="Z3" s="49">
        <v>2018</v>
      </c>
      <c r="AA3" s="49">
        <v>2019</v>
      </c>
      <c r="AB3" s="49">
        <v>2020</v>
      </c>
      <c r="AC3" s="50">
        <v>2021</v>
      </c>
      <c r="AD3" s="50">
        <v>2022</v>
      </c>
    </row>
    <row r="4" spans="1:30" x14ac:dyDescent="0.25">
      <c r="A4" s="51" t="s">
        <v>43</v>
      </c>
      <c r="B4" s="51" t="s">
        <v>44</v>
      </c>
      <c r="C4" s="51">
        <v>29.356474858035774</v>
      </c>
      <c r="D4" s="51">
        <v>27.531488616982244</v>
      </c>
      <c r="E4" s="51">
        <v>29.578843965703289</v>
      </c>
      <c r="F4" s="51">
        <v>32.51600720002795</v>
      </c>
      <c r="G4" s="51">
        <v>26.206931887616264</v>
      </c>
      <c r="H4" s="51">
        <v>24.402159690284829</v>
      </c>
      <c r="I4" s="51">
        <v>24.171972629218068</v>
      </c>
      <c r="J4" s="51">
        <v>10.806323175678498</v>
      </c>
      <c r="K4" s="51">
        <v>15.897432849240936</v>
      </c>
      <c r="L4" s="51">
        <v>19.961235132088564</v>
      </c>
      <c r="M4" s="51">
        <v>39.39845492095845</v>
      </c>
      <c r="N4" s="51">
        <v>64.284273908121193</v>
      </c>
      <c r="O4" s="51">
        <v>67.173305606815376</v>
      </c>
      <c r="P4" s="51">
        <v>65.453489968612018</v>
      </c>
      <c r="Q4" s="51">
        <v>84.808001324989903</v>
      </c>
      <c r="R4" s="51">
        <v>77.206382346751326</v>
      </c>
      <c r="S4" s="51">
        <v>75.030786210519537</v>
      </c>
      <c r="T4" s="51">
        <v>72.77271302025953</v>
      </c>
      <c r="U4" s="51">
        <v>82.874103136013588</v>
      </c>
      <c r="V4" s="51">
        <v>89.595052143754842</v>
      </c>
      <c r="W4" s="51">
        <v>100</v>
      </c>
      <c r="X4" s="51">
        <v>68.715593885305594</v>
      </c>
      <c r="Y4" s="51">
        <v>99.249588365895562</v>
      </c>
      <c r="Z4" s="51">
        <v>89.578433166047617</v>
      </c>
      <c r="AA4" s="51">
        <v>41.730553599654392</v>
      </c>
      <c r="AB4" s="51">
        <v>35.852678798291144</v>
      </c>
      <c r="AC4" s="51">
        <v>70.125624349033529</v>
      </c>
      <c r="AD4" s="51">
        <v>80.887283605966758</v>
      </c>
    </row>
    <row r="5" spans="1:30" x14ac:dyDescent="0.25">
      <c r="A5" s="51" t="s">
        <v>8</v>
      </c>
      <c r="B5" s="51" t="s">
        <v>44</v>
      </c>
      <c r="C5" s="51">
        <v>5.1800704800183626</v>
      </c>
      <c r="D5" s="51">
        <v>4.0063336143808259</v>
      </c>
      <c r="E5" s="51">
        <v>2.2130939957267173</v>
      </c>
      <c r="F5" s="51">
        <v>4.811445725646375</v>
      </c>
      <c r="G5" s="51">
        <v>4.1059599341218034</v>
      </c>
      <c r="H5" s="51">
        <v>5.42473272397255</v>
      </c>
      <c r="I5" s="51">
        <v>5.589672159317832</v>
      </c>
      <c r="J5" s="51">
        <v>2.8063957560779724</v>
      </c>
      <c r="K5" s="51">
        <v>5.2052073625554858</v>
      </c>
      <c r="L5" s="51">
        <v>5.8692457297416372</v>
      </c>
      <c r="M5" s="51">
        <v>21.199269016619013</v>
      </c>
      <c r="N5" s="51">
        <v>76.875432691209383</v>
      </c>
      <c r="O5" s="51">
        <v>39.043862803003272</v>
      </c>
      <c r="P5" s="51">
        <v>56.689936304234585</v>
      </c>
      <c r="Q5" s="51">
        <v>62.246224123354629</v>
      </c>
      <c r="R5" s="51">
        <v>69.355638194624376</v>
      </c>
      <c r="S5" s="51">
        <v>61.285147358869935</v>
      </c>
      <c r="T5" s="51">
        <v>69.1352823521527</v>
      </c>
      <c r="U5" s="51">
        <v>79.405373617659706</v>
      </c>
      <c r="V5" s="51">
        <v>83.888417227861666</v>
      </c>
      <c r="W5" s="51">
        <v>100</v>
      </c>
      <c r="X5" s="51">
        <v>36.123768785982669</v>
      </c>
      <c r="Y5" s="51">
        <v>42.535147816157789</v>
      </c>
      <c r="Z5" s="51">
        <v>61.035447512380294</v>
      </c>
      <c r="AA5" s="51">
        <v>6.3332778013778253</v>
      </c>
      <c r="AB5" s="51">
        <v>11.064219323938994</v>
      </c>
      <c r="AC5" s="51">
        <v>20.097398845681354</v>
      </c>
      <c r="AD5" s="51">
        <v>19.010317577891204</v>
      </c>
    </row>
    <row r="6" spans="1:30" x14ac:dyDescent="0.25">
      <c r="A6" s="51" t="s">
        <v>1</v>
      </c>
      <c r="B6" s="51" t="s">
        <v>44</v>
      </c>
      <c r="C6" s="51">
        <v>31.713258127392876</v>
      </c>
      <c r="D6" s="51">
        <v>33.217661336920187</v>
      </c>
      <c r="E6" s="51">
        <v>36.412967340149734</v>
      </c>
      <c r="F6" s="51">
        <v>42.493594375234579</v>
      </c>
      <c r="G6" s="51">
        <v>29.818522051255254</v>
      </c>
      <c r="H6" s="51">
        <v>25.705144696947833</v>
      </c>
      <c r="I6" s="51">
        <v>27.986500853572561</v>
      </c>
      <c r="J6" s="51">
        <v>11.893932076249316</v>
      </c>
      <c r="K6" s="51">
        <v>14.135553097447659</v>
      </c>
      <c r="L6" s="51">
        <v>23.431933561546753</v>
      </c>
      <c r="M6" s="51">
        <v>50.712881994763762</v>
      </c>
      <c r="N6" s="51">
        <v>80.416491654848343</v>
      </c>
      <c r="O6" s="51">
        <v>106.17064426887066</v>
      </c>
      <c r="P6" s="51">
        <v>100.70238461257816</v>
      </c>
      <c r="Q6" s="51">
        <v>117.90565116962544</v>
      </c>
      <c r="R6" s="51">
        <v>89.194864550358005</v>
      </c>
      <c r="S6" s="51">
        <v>84.467193704059426</v>
      </c>
      <c r="T6" s="51">
        <v>81.236883010113473</v>
      </c>
      <c r="U6" s="51">
        <v>83.955171700422611</v>
      </c>
      <c r="V6" s="51">
        <v>112.5196968604791</v>
      </c>
      <c r="W6" s="51">
        <v>100</v>
      </c>
      <c r="X6" s="51">
        <v>80.027507747341531</v>
      </c>
      <c r="Y6" s="51">
        <v>119.8656831735846</v>
      </c>
      <c r="Z6" s="51">
        <v>102.71744864187754</v>
      </c>
      <c r="AA6" s="51">
        <v>60.121992073390722</v>
      </c>
      <c r="AB6" s="51">
        <v>34.531220108822581</v>
      </c>
      <c r="AC6" s="51">
        <v>60.232810196717949</v>
      </c>
      <c r="AD6" s="51">
        <v>59.816479032892516</v>
      </c>
    </row>
    <row r="7" spans="1:30" x14ac:dyDescent="0.25">
      <c r="A7" s="51" t="s">
        <v>9</v>
      </c>
      <c r="B7" s="51" t="s">
        <v>44</v>
      </c>
      <c r="C7" s="51">
        <v>34.617172990399652</v>
      </c>
      <c r="D7" s="51">
        <v>23.838155390176752</v>
      </c>
      <c r="E7" s="51">
        <v>31.182814065975354</v>
      </c>
      <c r="F7" s="51">
        <v>42.39001502877975</v>
      </c>
      <c r="G7" s="51">
        <v>16.032709534796645</v>
      </c>
      <c r="H7" s="51">
        <v>7.1017111952555165</v>
      </c>
      <c r="I7" s="51">
        <v>9.8492530416805479</v>
      </c>
      <c r="J7" s="51">
        <v>4.1166083506893427</v>
      </c>
      <c r="K7" s="51">
        <v>3.8882434188153021</v>
      </c>
      <c r="L7" s="51">
        <v>6.9946775648187529</v>
      </c>
      <c r="M7" s="51">
        <v>16.311785320376931</v>
      </c>
      <c r="N7" s="51">
        <v>22.201133115923156</v>
      </c>
      <c r="O7" s="51">
        <v>50.243434048611441</v>
      </c>
      <c r="P7" s="51">
        <v>43.164967299229701</v>
      </c>
      <c r="Q7" s="51">
        <v>54.351212027915992</v>
      </c>
      <c r="R7" s="51">
        <v>65.95992414591845</v>
      </c>
      <c r="S7" s="51">
        <v>34.971273742032068</v>
      </c>
      <c r="T7" s="51">
        <v>39.789043200616007</v>
      </c>
      <c r="U7" s="51">
        <v>104.18055281310284</v>
      </c>
      <c r="V7" s="51">
        <v>72.323044877134308</v>
      </c>
      <c r="W7" s="51">
        <v>100</v>
      </c>
      <c r="X7" s="51">
        <v>40.450423687154327</v>
      </c>
      <c r="Y7" s="51">
        <v>72.027416799069513</v>
      </c>
      <c r="Z7" s="51">
        <v>49.373746079406153</v>
      </c>
      <c r="AA7" s="51">
        <v>36.773472544042995</v>
      </c>
      <c r="AB7" s="51">
        <v>15.457664941955329</v>
      </c>
      <c r="AC7" s="51">
        <v>66.561753489984639</v>
      </c>
      <c r="AD7" s="51">
        <v>71.668982720105603</v>
      </c>
    </row>
    <row r="8" spans="1:30" x14ac:dyDescent="0.25">
      <c r="A8" s="51" t="s">
        <v>10</v>
      </c>
      <c r="B8" s="51" t="s">
        <v>44</v>
      </c>
      <c r="C8" s="51">
        <v>46.721697939961686</v>
      </c>
      <c r="D8" s="51">
        <v>36.983285670396263</v>
      </c>
      <c r="E8" s="51">
        <v>42.242658884980415</v>
      </c>
      <c r="F8" s="51">
        <v>42.539565461576665</v>
      </c>
      <c r="G8" s="51">
        <v>41.389576365108326</v>
      </c>
      <c r="H8" s="51">
        <v>44.707313764833025</v>
      </c>
      <c r="I8" s="51">
        <v>45.658585534952479</v>
      </c>
      <c r="J8" s="51">
        <v>19.258919509653943</v>
      </c>
      <c r="K8" s="51">
        <v>22.058645930788661</v>
      </c>
      <c r="L8" s="51">
        <v>29.780703267851642</v>
      </c>
      <c r="M8" s="51">
        <v>63.316323950968759</v>
      </c>
      <c r="N8" s="51">
        <v>82.110038312012236</v>
      </c>
      <c r="O8" s="51">
        <v>90.54677909828844</v>
      </c>
      <c r="P8" s="51">
        <v>65.255832069387239</v>
      </c>
      <c r="Q8" s="51">
        <v>109.00977426038409</v>
      </c>
      <c r="R8" s="51">
        <v>66.854155405552078</v>
      </c>
      <c r="S8" s="51">
        <v>52.721815657834881</v>
      </c>
      <c r="T8" s="51">
        <v>31.297399140537543</v>
      </c>
      <c r="U8" s="51">
        <v>54.765114754917271</v>
      </c>
      <c r="V8" s="51">
        <v>64.594016194595611</v>
      </c>
      <c r="W8" s="51">
        <v>100</v>
      </c>
      <c r="X8" s="51">
        <v>31.640017477125337</v>
      </c>
      <c r="Y8" s="51">
        <v>64.629037881716386</v>
      </c>
      <c r="Z8" s="51">
        <v>117.88746416263763</v>
      </c>
      <c r="AA8" s="51">
        <v>42.842512863310624</v>
      </c>
      <c r="AB8" s="51">
        <v>13.079404452452062</v>
      </c>
      <c r="AC8" s="51">
        <v>89.229824399973111</v>
      </c>
      <c r="AD8" s="51">
        <v>155.28980418306662</v>
      </c>
    </row>
    <row r="9" spans="1:30" x14ac:dyDescent="0.25">
      <c r="A9" s="51" t="s">
        <v>11</v>
      </c>
      <c r="B9" s="51" t="s">
        <v>44</v>
      </c>
      <c r="C9" s="51">
        <v>1.6208641871211924</v>
      </c>
      <c r="D9" s="51">
        <v>0.43501648924949798</v>
      </c>
      <c r="E9" s="51">
        <v>6.1649455580260577</v>
      </c>
      <c r="F9" s="51">
        <v>5.3568104513850061</v>
      </c>
      <c r="G9" s="51">
        <v>9.6762133389088536</v>
      </c>
      <c r="H9" s="51">
        <v>5.774336210727312</v>
      </c>
      <c r="I9" s="51">
        <v>5.1183670200914984</v>
      </c>
      <c r="J9" s="51">
        <v>1.7512598257849903</v>
      </c>
      <c r="K9" s="51">
        <v>9.1630012113039019</v>
      </c>
      <c r="L9" s="51">
        <v>11.829944059199223</v>
      </c>
      <c r="M9" s="51">
        <v>13.652751971719253</v>
      </c>
      <c r="N9" s="51">
        <v>25.261507809177832</v>
      </c>
      <c r="O9" s="51">
        <v>43.76895345388602</v>
      </c>
      <c r="P9" s="51">
        <v>55.849116095234585</v>
      </c>
      <c r="Q9" s="51">
        <v>66.514908194755947</v>
      </c>
      <c r="R9" s="51">
        <v>40.564199189995271</v>
      </c>
      <c r="S9" s="51">
        <v>83.487306931632986</v>
      </c>
      <c r="T9" s="51">
        <v>96.63251231094452</v>
      </c>
      <c r="U9" s="51">
        <v>108.29153407087296</v>
      </c>
      <c r="V9" s="51">
        <v>106.16771229961046</v>
      </c>
      <c r="W9" s="51">
        <v>100</v>
      </c>
      <c r="X9" s="51">
        <v>97.90091887003112</v>
      </c>
      <c r="Y9" s="51">
        <v>114.96482593412375</v>
      </c>
      <c r="Z9" s="51">
        <v>164.74725518299465</v>
      </c>
      <c r="AA9" s="51">
        <v>60.408218842842665</v>
      </c>
      <c r="AB9" s="51">
        <v>122.07655407541024</v>
      </c>
      <c r="AC9" s="51">
        <v>152.51686809930169</v>
      </c>
      <c r="AD9" s="51">
        <v>136.14854467228142</v>
      </c>
    </row>
    <row r="10" spans="1:30" x14ac:dyDescent="0.25">
      <c r="A10" s="51" t="s">
        <v>5</v>
      </c>
      <c r="B10" s="51" t="s">
        <v>44</v>
      </c>
      <c r="C10" s="51">
        <v>15.277900684397176</v>
      </c>
      <c r="D10" s="51">
        <v>10.377097443589424</v>
      </c>
      <c r="E10" s="51">
        <v>13.374378909217102</v>
      </c>
      <c r="F10" s="51">
        <v>17.515651358944989</v>
      </c>
      <c r="G10" s="51">
        <v>13.730675750742957</v>
      </c>
      <c r="H10" s="51">
        <v>6.97711404164047</v>
      </c>
      <c r="I10" s="51">
        <v>5.3852519526254214</v>
      </c>
      <c r="J10" s="51">
        <v>1.8601319691223488</v>
      </c>
      <c r="K10" s="51">
        <v>3.1239717283996837</v>
      </c>
      <c r="L10" s="51">
        <v>8.7521955014754962</v>
      </c>
      <c r="M10" s="51">
        <v>14.469107448239273</v>
      </c>
      <c r="N10" s="51">
        <v>17.091932596874766</v>
      </c>
      <c r="O10" s="51">
        <v>24.583554145481795</v>
      </c>
      <c r="P10" s="51">
        <v>37.021533761783999</v>
      </c>
      <c r="Q10" s="51">
        <v>42.746359133640297</v>
      </c>
      <c r="R10" s="51">
        <v>43.559567518167832</v>
      </c>
      <c r="S10" s="51">
        <v>52.570087627062243</v>
      </c>
      <c r="T10" s="51">
        <v>74.430954960443145</v>
      </c>
      <c r="U10" s="51">
        <v>83.744447032457472</v>
      </c>
      <c r="V10" s="51">
        <v>97.634905182674871</v>
      </c>
      <c r="W10" s="51">
        <v>100</v>
      </c>
      <c r="X10" s="51">
        <v>89.181264552514563</v>
      </c>
      <c r="Y10" s="51">
        <v>143.23035845442999</v>
      </c>
      <c r="Z10" s="51">
        <v>80.13929667806535</v>
      </c>
      <c r="AA10" s="51">
        <v>38.344450734345536</v>
      </c>
      <c r="AB10" s="51">
        <v>43.044886931592856</v>
      </c>
      <c r="AC10" s="51">
        <v>63.509651962838007</v>
      </c>
      <c r="AD10" s="51">
        <v>64.4128781531101</v>
      </c>
    </row>
    <row r="11" spans="1:30" x14ac:dyDescent="0.25">
      <c r="A11" s="51" t="s">
        <v>7</v>
      </c>
      <c r="B11" s="51" t="s">
        <v>44</v>
      </c>
      <c r="C11" s="51">
        <v>31.783524145083987</v>
      </c>
      <c r="D11" s="51">
        <v>32.542325254307151</v>
      </c>
      <c r="E11" s="51">
        <v>12.521157121553317</v>
      </c>
      <c r="F11" s="51">
        <v>18.882117365814221</v>
      </c>
      <c r="G11" s="51">
        <v>7.8063510662093538</v>
      </c>
      <c r="H11" s="51">
        <v>20.277340266260115</v>
      </c>
      <c r="I11" s="51">
        <v>6.6917357391618495</v>
      </c>
      <c r="J11" s="51">
        <v>0.22429534516430205</v>
      </c>
      <c r="K11" s="51">
        <v>2.0346921630149666</v>
      </c>
      <c r="L11" s="51">
        <v>3.061656750367618</v>
      </c>
      <c r="M11" s="51">
        <v>34.74984645648734</v>
      </c>
      <c r="N11" s="51">
        <v>25.064722180713854</v>
      </c>
      <c r="O11" s="51">
        <v>44.35728939778469</v>
      </c>
      <c r="P11" s="51">
        <v>24.58208173537329</v>
      </c>
      <c r="Q11" s="51">
        <v>65.530949940821785</v>
      </c>
      <c r="R11" s="51">
        <v>38.359251201651993</v>
      </c>
      <c r="S11" s="51">
        <v>103.09348881419362</v>
      </c>
      <c r="T11" s="51">
        <v>68.22921994875955</v>
      </c>
      <c r="U11" s="51">
        <v>98.074846721820947</v>
      </c>
      <c r="V11" s="51">
        <v>56.815678947364461</v>
      </c>
      <c r="W11" s="51">
        <v>100</v>
      </c>
      <c r="X11" s="51">
        <v>70.845160851658434</v>
      </c>
      <c r="Y11" s="51">
        <v>38.298376459485766</v>
      </c>
      <c r="Z11" s="51">
        <v>23.056343317913274</v>
      </c>
      <c r="AA11" s="51">
        <v>10.979790440276927</v>
      </c>
      <c r="AB11" s="51">
        <v>316.74293532551133</v>
      </c>
      <c r="AC11" s="51">
        <v>325.88735564277641</v>
      </c>
      <c r="AD11" s="51">
        <v>151.06250425068913</v>
      </c>
    </row>
    <row r="12" spans="1:30" x14ac:dyDescent="0.25">
      <c r="A12" s="51" t="s">
        <v>43</v>
      </c>
      <c r="B12" s="51" t="s">
        <v>45</v>
      </c>
      <c r="C12" s="51"/>
      <c r="D12" s="51"/>
      <c r="E12" s="51">
        <v>25.892402583652391</v>
      </c>
      <c r="F12" s="51">
        <v>24.714574435107295</v>
      </c>
      <c r="G12" s="51">
        <v>23.088346632583828</v>
      </c>
      <c r="H12" s="51">
        <v>19.540541555581619</v>
      </c>
      <c r="I12" s="51">
        <v>20.832880544982373</v>
      </c>
      <c r="J12" s="51">
        <v>11.996161485778462</v>
      </c>
      <c r="K12" s="51">
        <v>15.683044636263482</v>
      </c>
      <c r="L12" s="51">
        <v>26.124851766126273</v>
      </c>
      <c r="M12" s="51">
        <v>36.479770942068249</v>
      </c>
      <c r="N12" s="51">
        <v>58.997533617316812</v>
      </c>
      <c r="O12" s="51">
        <v>61.217799024244158</v>
      </c>
      <c r="P12" s="51">
        <v>61.969624057763035</v>
      </c>
      <c r="Q12" s="51">
        <v>81.527173782548786</v>
      </c>
      <c r="R12" s="51">
        <v>78.616999650749108</v>
      </c>
      <c r="S12" s="51">
        <v>75.224371096504314</v>
      </c>
      <c r="T12" s="51">
        <v>79.522414720950863</v>
      </c>
      <c r="U12" s="51">
        <v>87.56347489374329</v>
      </c>
      <c r="V12" s="51">
        <v>84.809860806270152</v>
      </c>
      <c r="W12" s="51">
        <v>100</v>
      </c>
      <c r="X12" s="51">
        <v>73.492623289774997</v>
      </c>
      <c r="Y12" s="51">
        <v>78.367325406939884</v>
      </c>
      <c r="Z12" s="51">
        <v>49.247281772761553</v>
      </c>
      <c r="AA12" s="51">
        <v>39.079176425374783</v>
      </c>
      <c r="AB12" s="51">
        <v>27.426483505424414</v>
      </c>
      <c r="AC12" s="51">
        <v>42.357215974252263</v>
      </c>
      <c r="AD12" s="51">
        <v>48.044517228416311</v>
      </c>
    </row>
    <row r="13" spans="1:30" x14ac:dyDescent="0.25">
      <c r="A13" s="51" t="s">
        <v>8</v>
      </c>
      <c r="B13" s="51" t="s">
        <v>45</v>
      </c>
      <c r="C13" s="51"/>
      <c r="D13" s="51"/>
      <c r="E13" s="51" t="s">
        <v>46</v>
      </c>
      <c r="F13" s="51" t="s">
        <v>46</v>
      </c>
      <c r="G13" s="51" t="s">
        <v>46</v>
      </c>
      <c r="H13" s="51" t="s">
        <v>46</v>
      </c>
      <c r="I13" s="51" t="s">
        <v>46</v>
      </c>
      <c r="J13" s="51" t="s">
        <v>46</v>
      </c>
      <c r="K13" s="51" t="s">
        <v>46</v>
      </c>
      <c r="L13" s="51" t="s">
        <v>46</v>
      </c>
      <c r="M13" s="51" t="s">
        <v>46</v>
      </c>
      <c r="N13" s="51" t="s">
        <v>46</v>
      </c>
      <c r="O13" s="51" t="s">
        <v>46</v>
      </c>
      <c r="P13" s="51" t="s">
        <v>46</v>
      </c>
      <c r="Q13" s="51" t="s">
        <v>46</v>
      </c>
      <c r="R13" s="51" t="s">
        <v>46</v>
      </c>
      <c r="S13" s="51" t="s">
        <v>46</v>
      </c>
      <c r="T13" s="51" t="s">
        <v>46</v>
      </c>
      <c r="U13" s="51" t="s">
        <v>46</v>
      </c>
      <c r="V13" s="51" t="s">
        <v>46</v>
      </c>
      <c r="W13" s="51" t="s">
        <v>46</v>
      </c>
      <c r="X13" s="51">
        <v>100</v>
      </c>
      <c r="Y13" s="51">
        <v>44.714964702536783</v>
      </c>
      <c r="Z13" s="51">
        <v>44.416808134657259</v>
      </c>
      <c r="AA13" s="51">
        <v>28.410820123420489</v>
      </c>
      <c r="AB13" s="51">
        <v>13.4338890989688</v>
      </c>
      <c r="AC13" s="51">
        <v>33.999120891370907</v>
      </c>
      <c r="AD13" s="51">
        <v>13.990827201184477</v>
      </c>
    </row>
    <row r="14" spans="1:30" x14ac:dyDescent="0.25">
      <c r="A14" s="51" t="s">
        <v>1</v>
      </c>
      <c r="B14" s="51" t="s">
        <v>45</v>
      </c>
      <c r="C14" s="51"/>
      <c r="D14" s="51"/>
      <c r="E14" s="51" t="s">
        <v>46</v>
      </c>
      <c r="F14" s="51" t="s">
        <v>46</v>
      </c>
      <c r="G14" s="51" t="s">
        <v>46</v>
      </c>
      <c r="H14" s="51" t="s">
        <v>46</v>
      </c>
      <c r="I14" s="51" t="s">
        <v>46</v>
      </c>
      <c r="J14" s="51" t="s">
        <v>46</v>
      </c>
      <c r="K14" s="51" t="s">
        <v>46</v>
      </c>
      <c r="L14" s="51" t="s">
        <v>46</v>
      </c>
      <c r="M14" s="51" t="s">
        <v>46</v>
      </c>
      <c r="N14" s="51" t="s">
        <v>46</v>
      </c>
      <c r="O14" s="51" t="s">
        <v>46</v>
      </c>
      <c r="P14" s="51" t="s">
        <v>46</v>
      </c>
      <c r="Q14" s="51" t="s">
        <v>46</v>
      </c>
      <c r="R14" s="51" t="s">
        <v>46</v>
      </c>
      <c r="S14" s="51" t="s">
        <v>46</v>
      </c>
      <c r="T14" s="51" t="s">
        <v>46</v>
      </c>
      <c r="U14" s="51" t="s">
        <v>46</v>
      </c>
      <c r="V14" s="51" t="s">
        <v>46</v>
      </c>
      <c r="W14" s="51" t="s">
        <v>46</v>
      </c>
      <c r="X14" s="51">
        <v>100</v>
      </c>
      <c r="Y14" s="51">
        <v>127.37691762502398</v>
      </c>
      <c r="Z14" s="51">
        <v>87.604856504454176</v>
      </c>
      <c r="AA14" s="51">
        <v>99.533193724240363</v>
      </c>
      <c r="AB14" s="51">
        <v>56.06850546206195</v>
      </c>
      <c r="AC14" s="51">
        <v>73.619517569032709</v>
      </c>
      <c r="AD14" s="51">
        <v>86.029937337908336</v>
      </c>
    </row>
    <row r="15" spans="1:30" x14ac:dyDescent="0.25">
      <c r="A15" s="51" t="s">
        <v>9</v>
      </c>
      <c r="B15" s="51" t="s">
        <v>45</v>
      </c>
      <c r="C15" s="51"/>
      <c r="D15" s="51"/>
      <c r="E15" s="51" t="s">
        <v>46</v>
      </c>
      <c r="F15" s="51" t="s">
        <v>46</v>
      </c>
      <c r="G15" s="51" t="s">
        <v>46</v>
      </c>
      <c r="H15" s="51" t="s">
        <v>46</v>
      </c>
      <c r="I15" s="51" t="s">
        <v>46</v>
      </c>
      <c r="J15" s="51" t="s">
        <v>46</v>
      </c>
      <c r="K15" s="51" t="s">
        <v>46</v>
      </c>
      <c r="L15" s="51" t="s">
        <v>46</v>
      </c>
      <c r="M15" s="51" t="s">
        <v>46</v>
      </c>
      <c r="N15" s="51" t="s">
        <v>46</v>
      </c>
      <c r="O15" s="51" t="s">
        <v>46</v>
      </c>
      <c r="P15" s="51" t="s">
        <v>46</v>
      </c>
      <c r="Q15" s="51" t="s">
        <v>46</v>
      </c>
      <c r="R15" s="51" t="s">
        <v>46</v>
      </c>
      <c r="S15" s="51" t="s">
        <v>46</v>
      </c>
      <c r="T15" s="51" t="s">
        <v>46</v>
      </c>
      <c r="U15" s="51" t="s">
        <v>46</v>
      </c>
      <c r="V15" s="51" t="s">
        <v>46</v>
      </c>
      <c r="W15" s="51" t="s">
        <v>46</v>
      </c>
      <c r="X15" s="51">
        <v>100</v>
      </c>
      <c r="Y15" s="51">
        <v>182.85326388270531</v>
      </c>
      <c r="Z15" s="51">
        <v>195.61289156808735</v>
      </c>
      <c r="AA15" s="51">
        <v>88.68043870402542</v>
      </c>
      <c r="AB15" s="51">
        <v>38.306777023564955</v>
      </c>
      <c r="AC15" s="51">
        <v>132.35579386428938</v>
      </c>
      <c r="AD15" s="51">
        <v>189.5011163176859</v>
      </c>
    </row>
    <row r="16" spans="1:30" x14ac:dyDescent="0.25">
      <c r="A16" s="51" t="s">
        <v>10</v>
      </c>
      <c r="B16" s="51" t="s">
        <v>45</v>
      </c>
      <c r="C16" s="51"/>
      <c r="D16" s="51"/>
      <c r="E16" s="51" t="s">
        <v>46</v>
      </c>
      <c r="F16" s="51" t="s">
        <v>46</v>
      </c>
      <c r="G16" s="51" t="s">
        <v>46</v>
      </c>
      <c r="H16" s="51" t="s">
        <v>46</v>
      </c>
      <c r="I16" s="51" t="s">
        <v>46</v>
      </c>
      <c r="J16" s="51" t="s">
        <v>46</v>
      </c>
      <c r="K16" s="51" t="s">
        <v>46</v>
      </c>
      <c r="L16" s="51" t="s">
        <v>46</v>
      </c>
      <c r="M16" s="51" t="s">
        <v>46</v>
      </c>
      <c r="N16" s="51" t="s">
        <v>46</v>
      </c>
      <c r="O16" s="51" t="s">
        <v>46</v>
      </c>
      <c r="P16" s="51" t="s">
        <v>46</v>
      </c>
      <c r="Q16" s="51" t="s">
        <v>46</v>
      </c>
      <c r="R16" s="51" t="s">
        <v>46</v>
      </c>
      <c r="S16" s="51" t="s">
        <v>46</v>
      </c>
      <c r="T16" s="51" t="s">
        <v>46</v>
      </c>
      <c r="U16" s="51" t="s">
        <v>46</v>
      </c>
      <c r="V16" s="51" t="s">
        <v>46</v>
      </c>
      <c r="W16" s="51" t="s">
        <v>46</v>
      </c>
      <c r="X16" s="51">
        <v>100</v>
      </c>
      <c r="Y16" s="51">
        <v>180.51799895423176</v>
      </c>
      <c r="Z16" s="51">
        <v>71.480442919461495</v>
      </c>
      <c r="AA16" s="51">
        <v>56.60350185927178</v>
      </c>
      <c r="AB16" s="51">
        <v>12.280429521017233</v>
      </c>
      <c r="AC16" s="51">
        <v>29.726218606217408</v>
      </c>
      <c r="AD16" s="51">
        <v>72.550102247602226</v>
      </c>
    </row>
    <row r="17" spans="1:30" x14ac:dyDescent="0.25">
      <c r="A17" s="51" t="s">
        <v>11</v>
      </c>
      <c r="B17" s="51" t="s">
        <v>45</v>
      </c>
      <c r="C17" s="51"/>
      <c r="D17" s="51"/>
      <c r="E17" s="51" t="s">
        <v>46</v>
      </c>
      <c r="F17" s="51" t="s">
        <v>46</v>
      </c>
      <c r="G17" s="51" t="s">
        <v>46</v>
      </c>
      <c r="H17" s="51" t="s">
        <v>46</v>
      </c>
      <c r="I17" s="51" t="s">
        <v>46</v>
      </c>
      <c r="J17" s="51" t="s">
        <v>46</v>
      </c>
      <c r="K17" s="51" t="s">
        <v>46</v>
      </c>
      <c r="L17" s="51" t="s">
        <v>46</v>
      </c>
      <c r="M17" s="51" t="s">
        <v>46</v>
      </c>
      <c r="N17" s="51" t="s">
        <v>46</v>
      </c>
      <c r="O17" s="51" t="s">
        <v>46</v>
      </c>
      <c r="P17" s="51" t="s">
        <v>46</v>
      </c>
      <c r="Q17" s="51" t="s">
        <v>46</v>
      </c>
      <c r="R17" s="51" t="s">
        <v>46</v>
      </c>
      <c r="S17" s="51" t="s">
        <v>46</v>
      </c>
      <c r="T17" s="51" t="s">
        <v>46</v>
      </c>
      <c r="U17" s="51" t="s">
        <v>46</v>
      </c>
      <c r="V17" s="51" t="s">
        <v>46</v>
      </c>
      <c r="W17" s="51" t="s">
        <v>46</v>
      </c>
      <c r="X17" s="51">
        <v>100</v>
      </c>
      <c r="Y17" s="51">
        <v>127.93380072411294</v>
      </c>
      <c r="Z17" s="51">
        <v>88.730788529027834</v>
      </c>
      <c r="AA17" s="51">
        <v>69.522132796824437</v>
      </c>
      <c r="AB17" s="51">
        <v>110.45976138709038</v>
      </c>
      <c r="AC17" s="51">
        <v>123.73721509813808</v>
      </c>
      <c r="AD17" s="51">
        <v>143.3770199573564</v>
      </c>
    </row>
    <row r="18" spans="1:30" x14ac:dyDescent="0.25">
      <c r="A18" s="51" t="s">
        <v>12</v>
      </c>
      <c r="B18" s="51" t="s">
        <v>45</v>
      </c>
      <c r="C18" s="51"/>
      <c r="D18" s="51"/>
      <c r="E18" s="51" t="s">
        <v>46</v>
      </c>
      <c r="F18" s="51" t="s">
        <v>46</v>
      </c>
      <c r="G18" s="51" t="s">
        <v>46</v>
      </c>
      <c r="H18" s="51" t="s">
        <v>46</v>
      </c>
      <c r="I18" s="51" t="s">
        <v>46</v>
      </c>
      <c r="J18" s="51" t="s">
        <v>46</v>
      </c>
      <c r="K18" s="51" t="s">
        <v>46</v>
      </c>
      <c r="L18" s="51" t="s">
        <v>46</v>
      </c>
      <c r="M18" s="51" t="s">
        <v>46</v>
      </c>
      <c r="N18" s="51" t="s">
        <v>46</v>
      </c>
      <c r="O18" s="51" t="s">
        <v>46</v>
      </c>
      <c r="P18" s="51" t="s">
        <v>46</v>
      </c>
      <c r="Q18" s="51" t="s">
        <v>46</v>
      </c>
      <c r="R18" s="51" t="s">
        <v>46</v>
      </c>
      <c r="S18" s="51" t="s">
        <v>46</v>
      </c>
      <c r="T18" s="51" t="s">
        <v>46</v>
      </c>
      <c r="U18" s="51" t="s">
        <v>46</v>
      </c>
      <c r="V18" s="51" t="s">
        <v>46</v>
      </c>
      <c r="W18" s="51" t="s">
        <v>46</v>
      </c>
      <c r="X18" s="51">
        <v>100</v>
      </c>
      <c r="Y18" s="51">
        <v>101.98285379617435</v>
      </c>
      <c r="Z18" s="51">
        <v>51.396535269929323</v>
      </c>
      <c r="AA18" s="51">
        <v>32.001715737127661</v>
      </c>
      <c r="AB18" s="51">
        <v>33.737060860543835</v>
      </c>
      <c r="AC18" s="51">
        <v>51.426774734483381</v>
      </c>
      <c r="AD18" s="51">
        <v>57.611314189054752</v>
      </c>
    </row>
    <row r="21" spans="1:30" x14ac:dyDescent="0.25">
      <c r="A21" t="s">
        <v>18</v>
      </c>
      <c r="B21" t="s">
        <v>10</v>
      </c>
    </row>
    <row r="23" spans="1:30" x14ac:dyDescent="0.25">
      <c r="B23" t="s">
        <v>47</v>
      </c>
    </row>
    <row r="24" spans="1:30" x14ac:dyDescent="0.25">
      <c r="A24" t="s">
        <v>34</v>
      </c>
      <c r="B24" t="s">
        <v>44</v>
      </c>
      <c r="C24" t="s">
        <v>45</v>
      </c>
    </row>
    <row r="25" spans="1:30" x14ac:dyDescent="0.25">
      <c r="A25" s="40" t="s">
        <v>48</v>
      </c>
      <c r="B25" s="41">
        <v>100</v>
      </c>
      <c r="C25" s="41">
        <v>0</v>
      </c>
    </row>
    <row r="26" spans="1:30" x14ac:dyDescent="0.25">
      <c r="A26" s="40" t="s">
        <v>49</v>
      </c>
      <c r="B26" s="41">
        <v>31.640017477125337</v>
      </c>
      <c r="C26" s="41">
        <v>100</v>
      </c>
    </row>
    <row r="27" spans="1:30" x14ac:dyDescent="0.25">
      <c r="A27" s="40" t="s">
        <v>50</v>
      </c>
      <c r="B27" s="41">
        <v>64.629037881716386</v>
      </c>
      <c r="C27" s="41">
        <v>180.51799895423176</v>
      </c>
    </row>
    <row r="28" spans="1:30" x14ac:dyDescent="0.25">
      <c r="A28" s="40" t="s">
        <v>51</v>
      </c>
      <c r="B28" s="41">
        <v>117.88746416263763</v>
      </c>
      <c r="C28" s="41">
        <v>71.480442919461495</v>
      </c>
    </row>
    <row r="29" spans="1:30" x14ac:dyDescent="0.25">
      <c r="A29" s="40" t="s">
        <v>52</v>
      </c>
      <c r="B29" s="41">
        <v>42.842512863310624</v>
      </c>
      <c r="C29" s="41">
        <v>56.60350185927178</v>
      </c>
    </row>
    <row r="30" spans="1:30" x14ac:dyDescent="0.25">
      <c r="A30" s="40" t="s">
        <v>53</v>
      </c>
      <c r="B30" s="41">
        <v>13.079404452452062</v>
      </c>
      <c r="C30" s="41">
        <v>12.280429521017233</v>
      </c>
    </row>
    <row r="31" spans="1:30" x14ac:dyDescent="0.25">
      <c r="A31" s="40" t="s">
        <v>54</v>
      </c>
      <c r="B31" s="41">
        <v>89.229824399973111</v>
      </c>
      <c r="C31" s="41">
        <v>29.726218606217408</v>
      </c>
    </row>
    <row r="32" spans="1:30" x14ac:dyDescent="0.25">
      <c r="A32" s="40" t="s">
        <v>55</v>
      </c>
      <c r="B32" s="41">
        <v>155.28980418306662</v>
      </c>
      <c r="C32" s="41">
        <v>72.550102247602226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serie 1</vt:lpstr>
      <vt:lpstr>serie 2</vt:lpstr>
      <vt:lpstr>serie 3</vt:lpstr>
      <vt:lpstr>serie 4</vt:lpstr>
      <vt:lpstr>serie 5</vt:lpstr>
      <vt:lpstr>serie 6</vt:lpstr>
      <vt:lpstr>serie 7</vt:lpstr>
      <vt:lpstr>serie 8</vt:lpstr>
      <vt:lpstr>serie 9</vt:lpstr>
      <vt:lpstr>serie 10</vt:lpstr>
      <vt:lpstr>serie 11</vt:lpstr>
      <vt:lpstr>serie 12</vt:lpstr>
      <vt:lpstr>Dev vs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Valentin Gomez</dc:creator>
  <cp:lastModifiedBy>Lautaro Valentin Gomez</cp:lastModifiedBy>
  <dcterms:created xsi:type="dcterms:W3CDTF">2022-06-03T17:23:30Z</dcterms:created>
  <dcterms:modified xsi:type="dcterms:W3CDTF">2026-02-23T13:45:46Z</dcterms:modified>
</cp:coreProperties>
</file>